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ink/ink1.xml" ContentType="application/inkml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backupFile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s-i\Desktop\Automatically_Email_script\"/>
    </mc:Choice>
  </mc:AlternateContent>
  <xr:revisionPtr revIDLastSave="0" documentId="13_ncr:1_{F98C634A-78EA-42D0-8DA6-4C5C1C9DBB55}" xr6:coauthVersionLast="47" xr6:coauthVersionMax="47" xr10:uidLastSave="{00000000-0000-0000-0000-000000000000}"/>
  <bookViews>
    <workbookView xWindow="-108" yWindow="-108" windowWidth="23256" windowHeight="12456" xr2:uid="{980C8452-1102-49DE-BA3B-B71EE7C5434A}"/>
  </bookViews>
  <sheets>
    <sheet name="Delivery_plan_24" sheetId="2" r:id="rId1"/>
    <sheet name="Gant_24" sheetId="1" r:id="rId2"/>
    <sheet name="Sheet1" sheetId="4" r:id="rId3"/>
    <sheet name="Tabelle1" sheetId="3" r:id="rId4"/>
  </sheets>
  <definedNames>
    <definedName name="_xlnm._FilterDatabase" localSheetId="0" hidden="1">Delivery_plan_24!#REF!</definedName>
    <definedName name="_xlnm._FilterDatabase" localSheetId="1" hidden="1">Gant_24!$A$8:$F$9</definedName>
    <definedName name="Power_automate">Gant_24!$H$2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70" i="1" l="1"/>
  <c r="AD170" i="1"/>
  <c r="AE170" i="1"/>
  <c r="AF170" i="1"/>
  <c r="AD165" i="1"/>
  <c r="AE165" i="1"/>
  <c r="AF165" i="1"/>
  <c r="AD160" i="1"/>
  <c r="AE160" i="1"/>
  <c r="AF160" i="1"/>
  <c r="AD155" i="1"/>
  <c r="AE155" i="1"/>
  <c r="AF155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Y240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AN240" i="1"/>
  <c r="AO240" i="1"/>
  <c r="AP240" i="1"/>
  <c r="AQ240" i="1"/>
  <c r="AR240" i="1"/>
  <c r="AS240" i="1"/>
  <c r="AT240" i="1"/>
  <c r="AU240" i="1"/>
  <c r="AV240" i="1"/>
  <c r="AW240" i="1"/>
  <c r="AX240" i="1"/>
  <c r="AY240" i="1"/>
  <c r="AZ240" i="1"/>
  <c r="BA240" i="1"/>
  <c r="BB240" i="1"/>
  <c r="BC240" i="1"/>
  <c r="BD240" i="1"/>
  <c r="BE240" i="1"/>
  <c r="BF240" i="1"/>
  <c r="BG240" i="1"/>
  <c r="I275" i="1"/>
  <c r="J275" i="1"/>
  <c r="K275" i="1"/>
  <c r="L275" i="1"/>
  <c r="M275" i="1"/>
  <c r="N275" i="1"/>
  <c r="O275" i="1"/>
  <c r="P275" i="1"/>
  <c r="Q275" i="1"/>
  <c r="R275" i="1"/>
  <c r="S275" i="1"/>
  <c r="T275" i="1"/>
  <c r="U275" i="1"/>
  <c r="V275" i="1"/>
  <c r="W275" i="1"/>
  <c r="X275" i="1"/>
  <c r="Y275" i="1"/>
  <c r="Z275" i="1"/>
  <c r="AA275" i="1"/>
  <c r="AB275" i="1"/>
  <c r="AC275" i="1"/>
  <c r="AD275" i="1"/>
  <c r="AE275" i="1"/>
  <c r="AF275" i="1"/>
  <c r="AG275" i="1"/>
  <c r="AH275" i="1"/>
  <c r="AI275" i="1"/>
  <c r="AJ275" i="1"/>
  <c r="AK275" i="1"/>
  <c r="AL275" i="1"/>
  <c r="AM275" i="1"/>
  <c r="AN275" i="1"/>
  <c r="AO275" i="1"/>
  <c r="AP275" i="1"/>
  <c r="AQ275" i="1"/>
  <c r="AR275" i="1"/>
  <c r="AS275" i="1"/>
  <c r="AT275" i="1"/>
  <c r="AU275" i="1"/>
  <c r="AV275" i="1"/>
  <c r="AW275" i="1"/>
  <c r="AX275" i="1"/>
  <c r="AY275" i="1"/>
  <c r="AZ275" i="1"/>
  <c r="BA275" i="1"/>
  <c r="BB275" i="1"/>
  <c r="BC275" i="1"/>
  <c r="BD275" i="1"/>
  <c r="BE275" i="1"/>
  <c r="BF275" i="1"/>
  <c r="BG275" i="1"/>
  <c r="G290" i="1"/>
  <c r="H290" i="1"/>
  <c r="I290" i="1"/>
  <c r="J290" i="1"/>
  <c r="K290" i="1"/>
  <c r="L290" i="1"/>
  <c r="M290" i="1"/>
  <c r="V300" i="1"/>
  <c r="W300" i="1"/>
  <c r="X300" i="1"/>
  <c r="Y300" i="1"/>
  <c r="Z300" i="1"/>
  <c r="AA300" i="1"/>
  <c r="AB300" i="1"/>
  <c r="AC300" i="1"/>
  <c r="AD300" i="1"/>
  <c r="AE300" i="1"/>
  <c r="AF300" i="1"/>
  <c r="AG300" i="1"/>
  <c r="AH300" i="1"/>
  <c r="AI300" i="1"/>
  <c r="AJ300" i="1"/>
  <c r="AK300" i="1"/>
  <c r="AL300" i="1"/>
  <c r="AM300" i="1"/>
  <c r="AN300" i="1"/>
  <c r="AO300" i="1"/>
  <c r="AP300" i="1"/>
  <c r="AQ300" i="1"/>
  <c r="AR300" i="1"/>
  <c r="AS300" i="1"/>
  <c r="AT300" i="1"/>
  <c r="AU300" i="1"/>
  <c r="AV300" i="1"/>
  <c r="AW300" i="1"/>
  <c r="AX300" i="1"/>
  <c r="AY300" i="1"/>
  <c r="AZ300" i="1"/>
  <c r="BA300" i="1"/>
  <c r="BB300" i="1"/>
  <c r="BC300" i="1"/>
  <c r="BD300" i="1"/>
  <c r="BE300" i="1"/>
  <c r="BF300" i="1"/>
  <c r="BG300" i="1"/>
  <c r="U300" i="1"/>
  <c r="U305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AP125" i="1"/>
  <c r="AQ125" i="1"/>
  <c r="AR125" i="1"/>
  <c r="AS125" i="1"/>
  <c r="AT125" i="1"/>
  <c r="AU125" i="1"/>
  <c r="AV125" i="1"/>
  <c r="AW125" i="1"/>
  <c r="AX125" i="1"/>
  <c r="AY125" i="1"/>
  <c r="AZ125" i="1"/>
  <c r="BA125" i="1"/>
  <c r="BB125" i="1"/>
  <c r="BC125" i="1"/>
  <c r="BD125" i="1"/>
  <c r="BE125" i="1"/>
  <c r="BF125" i="1"/>
  <c r="BG125" i="1"/>
  <c r="AW50" i="2"/>
  <c r="AW54" i="2"/>
  <c r="AW22" i="2"/>
  <c r="AW25" i="2"/>
  <c r="AW46" i="2"/>
  <c r="AW13" i="2"/>
  <c r="AW10" i="2"/>
  <c r="AW9" i="2"/>
  <c r="AW17" i="2"/>
  <c r="AW29" i="2"/>
  <c r="AW12" i="2"/>
  <c r="AW65" i="2"/>
  <c r="AW19" i="2"/>
  <c r="AW23" i="2"/>
  <c r="AW33" i="2"/>
  <c r="AW66" i="2"/>
  <c r="AW15" i="2"/>
  <c r="AW48" i="2"/>
  <c r="AW59" i="2"/>
  <c r="AW67" i="2"/>
  <c r="AW28" i="2"/>
  <c r="AW47" i="2"/>
  <c r="AW41" i="2"/>
  <c r="AW40" i="2"/>
  <c r="AW20" i="2"/>
  <c r="AW24" i="2"/>
  <c r="AW51" i="2"/>
  <c r="AW11" i="2"/>
  <c r="AW39" i="2"/>
  <c r="AW52" i="2"/>
  <c r="AW37" i="2"/>
  <c r="AW16" i="2"/>
  <c r="AW62" i="2"/>
  <c r="AW55" i="2"/>
  <c r="AW61" i="2"/>
  <c r="AW27" i="2"/>
  <c r="AW32" i="2"/>
  <c r="AW31" i="2"/>
  <c r="AW21" i="2"/>
  <c r="AW49" i="2"/>
  <c r="AW56" i="2"/>
  <c r="AW35" i="2"/>
  <c r="AW63" i="2"/>
  <c r="AW38" i="2"/>
  <c r="AW58" i="2"/>
  <c r="AW43" i="2"/>
  <c r="AW14" i="2"/>
  <c r="AW57" i="2"/>
  <c r="AW36" i="2"/>
  <c r="AW45" i="2"/>
  <c r="AW60" i="2"/>
  <c r="AW18" i="2"/>
  <c r="AW26" i="2"/>
  <c r="AW30" i="2"/>
  <c r="AW44" i="2"/>
  <c r="AW53" i="2"/>
  <c r="AW64" i="2"/>
  <c r="AW34" i="2"/>
  <c r="AW42" i="2"/>
  <c r="AU25" i="2"/>
  <c r="AU46" i="2"/>
  <c r="AU13" i="2"/>
  <c r="AU10" i="2"/>
  <c r="AU9" i="2"/>
  <c r="AX9" i="2" s="1"/>
  <c r="AU17" i="2"/>
  <c r="AX17" i="2" s="1"/>
  <c r="AU29" i="2"/>
  <c r="AX29" i="2" s="1"/>
  <c r="AU12" i="2"/>
  <c r="AX12" i="2" s="1"/>
  <c r="AU65" i="2"/>
  <c r="AX65" i="2" s="1"/>
  <c r="AU19" i="2"/>
  <c r="AX19" i="2" s="1"/>
  <c r="AU23" i="2"/>
  <c r="AX23" i="2" s="1"/>
  <c r="AU33" i="2"/>
  <c r="AX33" i="2" s="1"/>
  <c r="AU66" i="2"/>
  <c r="AX66" i="2" s="1"/>
  <c r="AU15" i="2"/>
  <c r="AX15" i="2" s="1"/>
  <c r="AU48" i="2"/>
  <c r="AX48" i="2" s="1"/>
  <c r="AU59" i="2"/>
  <c r="AX59" i="2" s="1"/>
  <c r="AU67" i="2"/>
  <c r="AX67" i="2" s="1"/>
  <c r="AU28" i="2"/>
  <c r="AX28" i="2" s="1"/>
  <c r="AU47" i="2"/>
  <c r="AX47" i="2" s="1"/>
  <c r="AU41" i="2"/>
  <c r="AX41" i="2" s="1"/>
  <c r="AU40" i="2"/>
  <c r="AX40" i="2" s="1"/>
  <c r="AU20" i="2"/>
  <c r="AX20" i="2" s="1"/>
  <c r="AU24" i="2"/>
  <c r="AX24" i="2" s="1"/>
  <c r="AU51" i="2"/>
  <c r="AX51" i="2" s="1"/>
  <c r="AU11" i="2"/>
  <c r="AX11" i="2" s="1"/>
  <c r="AU39" i="2"/>
  <c r="AX39" i="2" s="1"/>
  <c r="AU52" i="2"/>
  <c r="AX52" i="2" s="1"/>
  <c r="AU37" i="2"/>
  <c r="AX37" i="2" s="1"/>
  <c r="AU16" i="2"/>
  <c r="AX16" i="2" s="1"/>
  <c r="AU62" i="2"/>
  <c r="AU55" i="2"/>
  <c r="AX55" i="2" s="1"/>
  <c r="AU61" i="2"/>
  <c r="AX61" i="2" s="1"/>
  <c r="AU27" i="2"/>
  <c r="AU32" i="2"/>
  <c r="AX32" i="2" s="1"/>
  <c r="AU31" i="2"/>
  <c r="AX31" i="2" s="1"/>
  <c r="AU21" i="2"/>
  <c r="AX21" i="2" s="1"/>
  <c r="AU49" i="2"/>
  <c r="AX49" i="2" s="1"/>
  <c r="AU56" i="2"/>
  <c r="AX56" i="2" s="1"/>
  <c r="AU35" i="2"/>
  <c r="AX35" i="2" s="1"/>
  <c r="AU63" i="2"/>
  <c r="AX63" i="2" s="1"/>
  <c r="AU38" i="2"/>
  <c r="AU58" i="2"/>
  <c r="AX58" i="2" s="1"/>
  <c r="AU43" i="2"/>
  <c r="AX43" i="2" s="1"/>
  <c r="AU14" i="2"/>
  <c r="AX14" i="2" s="1"/>
  <c r="AU57" i="2"/>
  <c r="AX57" i="2" s="1"/>
  <c r="AU36" i="2"/>
  <c r="AX36" i="2" s="1"/>
  <c r="AU45" i="2"/>
  <c r="AX45" i="2" s="1"/>
  <c r="AU60" i="2"/>
  <c r="AX60" i="2" s="1"/>
  <c r="AU18" i="2"/>
  <c r="AX18" i="2" s="1"/>
  <c r="AU26" i="2"/>
  <c r="AX26" i="2" s="1"/>
  <c r="AU30" i="2"/>
  <c r="AX30" i="2" s="1"/>
  <c r="AU44" i="2"/>
  <c r="AX44" i="2" s="1"/>
  <c r="AU53" i="2"/>
  <c r="AX53" i="2" s="1"/>
  <c r="AU64" i="2"/>
  <c r="AX64" i="2" s="1"/>
  <c r="AU34" i="2"/>
  <c r="AX34" i="2" s="1"/>
  <c r="AU42" i="2"/>
  <c r="AX42" i="2" s="1"/>
  <c r="AU22" i="2"/>
  <c r="AU50" i="2"/>
  <c r="AU54" i="2"/>
  <c r="AE185" i="1"/>
  <c r="AE190" i="1"/>
  <c r="AE195" i="1"/>
  <c r="AE210" i="1"/>
  <c r="AE205" i="1"/>
  <c r="AE215" i="1"/>
  <c r="AE220" i="1"/>
  <c r="AE230" i="1"/>
  <c r="AE235" i="1"/>
  <c r="L250" i="1"/>
  <c r="M250" i="1"/>
  <c r="N250" i="1"/>
  <c r="O250" i="1"/>
  <c r="P250" i="1"/>
  <c r="Q250" i="1"/>
  <c r="R250" i="1"/>
  <c r="S250" i="1"/>
  <c r="T250" i="1"/>
  <c r="U250" i="1"/>
  <c r="V250" i="1"/>
  <c r="W250" i="1"/>
  <c r="X250" i="1"/>
  <c r="Y250" i="1"/>
  <c r="Z250" i="1"/>
  <c r="AA250" i="1"/>
  <c r="AB250" i="1"/>
  <c r="AC250" i="1"/>
  <c r="AD250" i="1"/>
  <c r="AE250" i="1"/>
  <c r="AF250" i="1"/>
  <c r="AG250" i="1"/>
  <c r="AH250" i="1"/>
  <c r="AI250" i="1"/>
  <c r="AJ250" i="1"/>
  <c r="AK250" i="1"/>
  <c r="AL250" i="1"/>
  <c r="AM250" i="1"/>
  <c r="AN250" i="1"/>
  <c r="AO250" i="1"/>
  <c r="AP250" i="1"/>
  <c r="AQ250" i="1"/>
  <c r="AR250" i="1"/>
  <c r="AS250" i="1"/>
  <c r="AT250" i="1"/>
  <c r="AU250" i="1"/>
  <c r="AV250" i="1"/>
  <c r="AW250" i="1"/>
  <c r="AX250" i="1"/>
  <c r="AY250" i="1"/>
  <c r="AZ250" i="1"/>
  <c r="BA250" i="1"/>
  <c r="BB250" i="1"/>
  <c r="BC250" i="1"/>
  <c r="BD250" i="1"/>
  <c r="BE250" i="1"/>
  <c r="BF250" i="1"/>
  <c r="BG250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AD2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AD75" i="1"/>
  <c r="AC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D40" i="1"/>
  <c r="AC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H40" i="1"/>
  <c r="I40" i="1"/>
  <c r="J40" i="1"/>
  <c r="K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52" i="2"/>
  <c r="AL53" i="2"/>
  <c r="AL54" i="2"/>
  <c r="AL55" i="2"/>
  <c r="AL56" i="2"/>
  <c r="AL57" i="2"/>
  <c r="AL58" i="2"/>
  <c r="AL59" i="2"/>
  <c r="AL60" i="2"/>
  <c r="AL61" i="2"/>
  <c r="AL62" i="2"/>
  <c r="AL63" i="2"/>
  <c r="AL64" i="2"/>
  <c r="AL65" i="2"/>
  <c r="AL66" i="2"/>
  <c r="AL67" i="2"/>
  <c r="AD20" i="1"/>
  <c r="AF270" i="1"/>
  <c r="AF280" i="1"/>
  <c r="AD260" i="1"/>
  <c r="AC145" i="1"/>
  <c r="AE135" i="1"/>
  <c r="AD85" i="1"/>
  <c r="AD80" i="1"/>
  <c r="AD60" i="1"/>
  <c r="AD45" i="1"/>
  <c r="AD50" i="1"/>
  <c r="AE40" i="1"/>
  <c r="AE35" i="1"/>
  <c r="AM9" i="2"/>
  <c r="AN9" i="2"/>
  <c r="AO9" i="2"/>
  <c r="AM10" i="2"/>
  <c r="AN10" i="2"/>
  <c r="AO10" i="2"/>
  <c r="AM11" i="2"/>
  <c r="AN11" i="2"/>
  <c r="AO11" i="2"/>
  <c r="AM12" i="2"/>
  <c r="AN12" i="2"/>
  <c r="AO12" i="2"/>
  <c r="AM13" i="2"/>
  <c r="AN13" i="2"/>
  <c r="AO13" i="2"/>
  <c r="AM14" i="2"/>
  <c r="AN14" i="2"/>
  <c r="AO14" i="2"/>
  <c r="AM15" i="2"/>
  <c r="AN15" i="2"/>
  <c r="AO15" i="2"/>
  <c r="AM16" i="2"/>
  <c r="AN16" i="2"/>
  <c r="AO16" i="2"/>
  <c r="AM17" i="2"/>
  <c r="AN17" i="2"/>
  <c r="AO17" i="2"/>
  <c r="AM18" i="2"/>
  <c r="AN18" i="2"/>
  <c r="AO18" i="2"/>
  <c r="AM19" i="2"/>
  <c r="AN19" i="2"/>
  <c r="AO19" i="2"/>
  <c r="AM20" i="2"/>
  <c r="AN20" i="2"/>
  <c r="AO20" i="2"/>
  <c r="AM21" i="2"/>
  <c r="AN21" i="2"/>
  <c r="AO21" i="2"/>
  <c r="AM22" i="2"/>
  <c r="AN22" i="2"/>
  <c r="AO22" i="2"/>
  <c r="AM23" i="2"/>
  <c r="AN23" i="2"/>
  <c r="AO23" i="2"/>
  <c r="AM24" i="2"/>
  <c r="AN24" i="2"/>
  <c r="AO24" i="2"/>
  <c r="AM25" i="2"/>
  <c r="AN25" i="2"/>
  <c r="AO25" i="2"/>
  <c r="AM26" i="2"/>
  <c r="AN26" i="2"/>
  <c r="AO26" i="2"/>
  <c r="AM27" i="2"/>
  <c r="AN27" i="2"/>
  <c r="AO27" i="2"/>
  <c r="AM28" i="2"/>
  <c r="AN28" i="2"/>
  <c r="AO28" i="2"/>
  <c r="AM29" i="2"/>
  <c r="AN29" i="2"/>
  <c r="AO29" i="2"/>
  <c r="AM30" i="2"/>
  <c r="AN30" i="2"/>
  <c r="AO30" i="2"/>
  <c r="AM31" i="2"/>
  <c r="AN31" i="2"/>
  <c r="AO31" i="2"/>
  <c r="AM32" i="2"/>
  <c r="AN32" i="2"/>
  <c r="AO32" i="2"/>
  <c r="AM33" i="2"/>
  <c r="AN33" i="2"/>
  <c r="AO33" i="2"/>
  <c r="AM34" i="2"/>
  <c r="AN34" i="2"/>
  <c r="AO34" i="2"/>
  <c r="AM35" i="2"/>
  <c r="AN35" i="2"/>
  <c r="AO35" i="2"/>
  <c r="AM36" i="2"/>
  <c r="AN36" i="2"/>
  <c r="AO36" i="2"/>
  <c r="AM37" i="2"/>
  <c r="AN37" i="2"/>
  <c r="AO37" i="2"/>
  <c r="AM38" i="2"/>
  <c r="AN38" i="2"/>
  <c r="AO38" i="2"/>
  <c r="AM39" i="2"/>
  <c r="AN39" i="2"/>
  <c r="AO39" i="2"/>
  <c r="AM40" i="2"/>
  <c r="AN40" i="2"/>
  <c r="AO40" i="2"/>
  <c r="AM41" i="2"/>
  <c r="AN41" i="2"/>
  <c r="AO41" i="2"/>
  <c r="AM42" i="2"/>
  <c r="AN42" i="2"/>
  <c r="AO42" i="2"/>
  <c r="AM43" i="2"/>
  <c r="AN43" i="2"/>
  <c r="AO43" i="2"/>
  <c r="AM44" i="2"/>
  <c r="AN44" i="2"/>
  <c r="AO44" i="2"/>
  <c r="AM45" i="2"/>
  <c r="AN45" i="2"/>
  <c r="AO45" i="2"/>
  <c r="AM46" i="2"/>
  <c r="AN46" i="2"/>
  <c r="AO46" i="2"/>
  <c r="AM47" i="2"/>
  <c r="AN47" i="2"/>
  <c r="AO47" i="2"/>
  <c r="AM48" i="2"/>
  <c r="AN48" i="2"/>
  <c r="AO48" i="2"/>
  <c r="AM49" i="2"/>
  <c r="AN49" i="2"/>
  <c r="AO49" i="2"/>
  <c r="AM50" i="2"/>
  <c r="AN50" i="2"/>
  <c r="AO50" i="2"/>
  <c r="AM51" i="2"/>
  <c r="AN51" i="2"/>
  <c r="AO51" i="2"/>
  <c r="AM52" i="2"/>
  <c r="AN52" i="2"/>
  <c r="AO52" i="2"/>
  <c r="AM53" i="2"/>
  <c r="AN53" i="2"/>
  <c r="AO53" i="2"/>
  <c r="AM54" i="2"/>
  <c r="AN54" i="2"/>
  <c r="AO54" i="2"/>
  <c r="AM55" i="2"/>
  <c r="AN55" i="2"/>
  <c r="AO55" i="2"/>
  <c r="AM56" i="2"/>
  <c r="AN56" i="2"/>
  <c r="AO56" i="2"/>
  <c r="AM57" i="2"/>
  <c r="AN57" i="2"/>
  <c r="AO57" i="2"/>
  <c r="AM58" i="2"/>
  <c r="AN58" i="2"/>
  <c r="AO58" i="2"/>
  <c r="AM59" i="2"/>
  <c r="AN59" i="2"/>
  <c r="AO59" i="2"/>
  <c r="AM60" i="2"/>
  <c r="AN60" i="2"/>
  <c r="AO60" i="2"/>
  <c r="AM61" i="2"/>
  <c r="AN61" i="2"/>
  <c r="AO61" i="2"/>
  <c r="AM62" i="2"/>
  <c r="AN62" i="2"/>
  <c r="AO62" i="2"/>
  <c r="AM63" i="2"/>
  <c r="AN63" i="2"/>
  <c r="AO63" i="2"/>
  <c r="AM64" i="2"/>
  <c r="AN64" i="2"/>
  <c r="AO64" i="2"/>
  <c r="AM65" i="2"/>
  <c r="AN65" i="2"/>
  <c r="AO65" i="2"/>
  <c r="AM66" i="2"/>
  <c r="AN66" i="2"/>
  <c r="AO66" i="2"/>
  <c r="AM67" i="2"/>
  <c r="AN67" i="2"/>
  <c r="AO67" i="2"/>
  <c r="E16" i="1"/>
  <c r="E17" i="1"/>
  <c r="E18" i="1"/>
  <c r="E21" i="1"/>
  <c r="E22" i="1"/>
  <c r="E23" i="1"/>
  <c r="E26" i="1"/>
  <c r="E27" i="1"/>
  <c r="E28" i="1"/>
  <c r="E31" i="1"/>
  <c r="E32" i="1"/>
  <c r="E33" i="1"/>
  <c r="E36" i="1"/>
  <c r="E37" i="1"/>
  <c r="E38" i="1"/>
  <c r="E41" i="1"/>
  <c r="E42" i="1"/>
  <c r="E43" i="1"/>
  <c r="E46" i="1"/>
  <c r="E47" i="1"/>
  <c r="E48" i="1"/>
  <c r="E51" i="1"/>
  <c r="E52" i="1"/>
  <c r="E53" i="1"/>
  <c r="E56" i="1"/>
  <c r="E57" i="1"/>
  <c r="E58" i="1"/>
  <c r="E61" i="1"/>
  <c r="E62" i="1"/>
  <c r="E63" i="1"/>
  <c r="E66" i="1"/>
  <c r="E67" i="1"/>
  <c r="E68" i="1"/>
  <c r="E71" i="1"/>
  <c r="E72" i="1"/>
  <c r="E73" i="1"/>
  <c r="E76" i="1"/>
  <c r="E77" i="1"/>
  <c r="E78" i="1"/>
  <c r="E81" i="1"/>
  <c r="E82" i="1"/>
  <c r="E83" i="1"/>
  <c r="E86" i="1"/>
  <c r="E87" i="1"/>
  <c r="E88" i="1"/>
  <c r="E91" i="1"/>
  <c r="E92" i="1"/>
  <c r="E93" i="1"/>
  <c r="E96" i="1"/>
  <c r="E97" i="1"/>
  <c r="E98" i="1"/>
  <c r="E101" i="1"/>
  <c r="E102" i="1"/>
  <c r="E103" i="1"/>
  <c r="E106" i="1"/>
  <c r="E107" i="1"/>
  <c r="E108" i="1"/>
  <c r="E111" i="1"/>
  <c r="E112" i="1"/>
  <c r="E113" i="1"/>
  <c r="E116" i="1"/>
  <c r="E118" i="1"/>
  <c r="E121" i="1"/>
  <c r="E122" i="1"/>
  <c r="E123" i="1"/>
  <c r="E126" i="1"/>
  <c r="E127" i="1"/>
  <c r="E128" i="1"/>
  <c r="E131" i="1"/>
  <c r="E132" i="1"/>
  <c r="E133" i="1"/>
  <c r="E136" i="1"/>
  <c r="E137" i="1"/>
  <c r="E138" i="1"/>
  <c r="E141" i="1"/>
  <c r="E142" i="1"/>
  <c r="E143" i="1"/>
  <c r="E146" i="1"/>
  <c r="E147" i="1"/>
  <c r="E148" i="1"/>
  <c r="E151" i="1"/>
  <c r="E152" i="1"/>
  <c r="E153" i="1"/>
  <c r="E156" i="1"/>
  <c r="E157" i="1"/>
  <c r="E158" i="1"/>
  <c r="E161" i="1"/>
  <c r="E162" i="1"/>
  <c r="E163" i="1"/>
  <c r="E166" i="1"/>
  <c r="E167" i="1"/>
  <c r="E168" i="1"/>
  <c r="E171" i="1"/>
  <c r="E172" i="1"/>
  <c r="E173" i="1"/>
  <c r="E176" i="1"/>
  <c r="E177" i="1"/>
  <c r="E178" i="1"/>
  <c r="E181" i="1"/>
  <c r="E182" i="1"/>
  <c r="E183" i="1"/>
  <c r="E186" i="1"/>
  <c r="E187" i="1"/>
  <c r="E188" i="1"/>
  <c r="E191" i="1"/>
  <c r="E192" i="1"/>
  <c r="E193" i="1"/>
  <c r="E196" i="1"/>
  <c r="E197" i="1"/>
  <c r="E198" i="1"/>
  <c r="E201" i="1"/>
  <c r="E202" i="1"/>
  <c r="E203" i="1"/>
  <c r="E206" i="1"/>
  <c r="E207" i="1"/>
  <c r="E208" i="1"/>
  <c r="E211" i="1"/>
  <c r="E212" i="1"/>
  <c r="E213" i="1"/>
  <c r="E216" i="1"/>
  <c r="E217" i="1"/>
  <c r="E218" i="1"/>
  <c r="E221" i="1"/>
  <c r="E222" i="1"/>
  <c r="E223" i="1"/>
  <c r="E226" i="1"/>
  <c r="E227" i="1"/>
  <c r="E228" i="1"/>
  <c r="E231" i="1"/>
  <c r="E232" i="1"/>
  <c r="E233" i="1"/>
  <c r="E236" i="1"/>
  <c r="E237" i="1"/>
  <c r="E238" i="1"/>
  <c r="E241" i="1"/>
  <c r="E242" i="1"/>
  <c r="E243" i="1"/>
  <c r="E246" i="1"/>
  <c r="E247" i="1"/>
  <c r="E248" i="1"/>
  <c r="E251" i="1"/>
  <c r="E252" i="1"/>
  <c r="E253" i="1"/>
  <c r="E256" i="1"/>
  <c r="E257" i="1"/>
  <c r="E258" i="1"/>
  <c r="E261" i="1"/>
  <c r="E262" i="1"/>
  <c r="E263" i="1"/>
  <c r="E266" i="1"/>
  <c r="E267" i="1"/>
  <c r="E268" i="1"/>
  <c r="E271" i="1"/>
  <c r="E272" i="1"/>
  <c r="E273" i="1"/>
  <c r="E276" i="1"/>
  <c r="E277" i="1"/>
  <c r="E278" i="1"/>
  <c r="E281" i="1"/>
  <c r="E282" i="1"/>
  <c r="E283" i="1"/>
  <c r="E286" i="1"/>
  <c r="E287" i="1"/>
  <c r="E288" i="1"/>
  <c r="E291" i="1"/>
  <c r="E292" i="1"/>
  <c r="E293" i="1"/>
  <c r="E296" i="1"/>
  <c r="E297" i="1"/>
  <c r="E298" i="1"/>
  <c r="E301" i="1"/>
  <c r="E302" i="1"/>
  <c r="E303" i="1"/>
  <c r="AX13" i="2" l="1"/>
  <c r="AX25" i="2"/>
  <c r="AX27" i="2"/>
  <c r="AX38" i="2"/>
  <c r="AX62" i="2"/>
  <c r="AX46" i="2"/>
  <c r="AX22" i="2"/>
  <c r="AX54" i="2"/>
  <c r="AX10" i="2"/>
  <c r="AX50" i="2"/>
  <c r="F126" i="1"/>
  <c r="F251" i="1"/>
  <c r="F66" i="1"/>
  <c r="F131" i="1"/>
  <c r="F191" i="1"/>
  <c r="F71" i="1"/>
  <c r="F286" i="1"/>
  <c r="F266" i="1"/>
  <c r="F246" i="1"/>
  <c r="F226" i="1"/>
  <c r="F206" i="1"/>
  <c r="F186" i="1"/>
  <c r="F166" i="1"/>
  <c r="F146" i="1"/>
  <c r="F106" i="1"/>
  <c r="F86" i="1"/>
  <c r="F46" i="1"/>
  <c r="F26" i="1"/>
  <c r="F301" i="1"/>
  <c r="F281" i="1"/>
  <c r="F261" i="1"/>
  <c r="F241" i="1"/>
  <c r="F221" i="1"/>
  <c r="F201" i="1"/>
  <c r="F181" i="1"/>
  <c r="F161" i="1"/>
  <c r="F141" i="1"/>
  <c r="F121" i="1"/>
  <c r="F101" i="1"/>
  <c r="F81" i="1"/>
  <c r="F61" i="1"/>
  <c r="F41" i="1"/>
  <c r="F21" i="1"/>
  <c r="F296" i="1"/>
  <c r="F276" i="1"/>
  <c r="F256" i="1"/>
  <c r="F236" i="1"/>
  <c r="F216" i="1"/>
  <c r="F196" i="1"/>
  <c r="F176" i="1"/>
  <c r="F156" i="1"/>
  <c r="F136" i="1"/>
  <c r="F116" i="1"/>
  <c r="F96" i="1"/>
  <c r="F76" i="1"/>
  <c r="F56" i="1"/>
  <c r="F36" i="1"/>
  <c r="F16" i="1"/>
  <c r="F291" i="1"/>
  <c r="F271" i="1"/>
  <c r="F231" i="1"/>
  <c r="F211" i="1"/>
  <c r="F171" i="1"/>
  <c r="F151" i="1"/>
  <c r="F111" i="1"/>
  <c r="F91" i="1"/>
  <c r="F51" i="1"/>
  <c r="F31" i="1"/>
  <c r="H90" i="1"/>
  <c r="I90" i="1"/>
  <c r="J90" i="1"/>
  <c r="AE3" i="1"/>
  <c r="AF3" i="1"/>
  <c r="AG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H9" i="1"/>
  <c r="I9" i="1" s="1"/>
  <c r="J9" i="1" s="1"/>
  <c r="K9" i="1" s="1"/>
  <c r="L9" i="1" s="1"/>
  <c r="M9" i="1" s="1"/>
  <c r="N9" i="1" s="1"/>
  <c r="O9" i="1" s="1"/>
  <c r="P9" i="1" s="1"/>
  <c r="Q9" i="1" s="1"/>
  <c r="R9" i="1" s="1"/>
  <c r="S9" i="1" s="1"/>
  <c r="T9" i="1" s="1"/>
  <c r="U9" i="1" s="1"/>
  <c r="V9" i="1" s="1"/>
  <c r="W9" i="1" s="1"/>
  <c r="X9" i="1" s="1"/>
  <c r="Y9" i="1" s="1"/>
  <c r="Z9" i="1" s="1"/>
  <c r="AA9" i="1" s="1"/>
  <c r="AB9" i="1" s="1"/>
  <c r="AC9" i="1" s="1"/>
  <c r="AD9" i="1" s="1"/>
  <c r="AD14" i="1" s="1"/>
  <c r="AD10" i="2"/>
  <c r="AD11" i="2"/>
  <c r="AD14" i="2"/>
  <c r="AD15" i="2"/>
  <c r="AD16" i="2"/>
  <c r="AD19" i="2"/>
  <c r="AD20" i="2"/>
  <c r="AD21" i="2"/>
  <c r="AD24" i="2"/>
  <c r="AD25" i="2"/>
  <c r="AD26" i="2"/>
  <c r="AD29" i="2"/>
  <c r="AD31" i="2"/>
  <c r="AD34" i="2"/>
  <c r="AD35" i="2"/>
  <c r="AD36" i="2"/>
  <c r="AD39" i="2"/>
  <c r="AD40" i="2"/>
  <c r="AD41" i="2"/>
  <c r="AD44" i="2"/>
  <c r="AD45" i="2"/>
  <c r="AD46" i="2"/>
  <c r="AD49" i="2"/>
  <c r="AD50" i="2"/>
  <c r="AD51" i="2"/>
  <c r="AD54" i="2"/>
  <c r="AD55" i="2"/>
  <c r="AD56" i="2"/>
  <c r="AD59" i="2"/>
  <c r="AD60" i="2"/>
  <c r="AD61" i="2"/>
  <c r="AD64" i="2"/>
  <c r="AD65" i="2"/>
  <c r="E11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AQ105" i="1"/>
  <c r="AR105" i="1"/>
  <c r="AS105" i="1"/>
  <c r="AT105" i="1"/>
  <c r="AU105" i="1"/>
  <c r="AV105" i="1"/>
  <c r="AW105" i="1"/>
  <c r="AX105" i="1"/>
  <c r="AY105" i="1"/>
  <c r="AZ105" i="1"/>
  <c r="BA105" i="1"/>
  <c r="BB105" i="1"/>
  <c r="BC105" i="1"/>
  <c r="BD105" i="1"/>
  <c r="BE105" i="1"/>
  <c r="BF105" i="1"/>
  <c r="BG105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BB80" i="1"/>
  <c r="BC80" i="1"/>
  <c r="BD80" i="1"/>
  <c r="BE80" i="1"/>
  <c r="BF80" i="1"/>
  <c r="BG8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K90" i="1"/>
  <c r="L9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AF120" i="1"/>
  <c r="AG120" i="1"/>
  <c r="AH120" i="1"/>
  <c r="AI120" i="1"/>
  <c r="AJ120" i="1"/>
  <c r="AK120" i="1"/>
  <c r="AL120" i="1"/>
  <c r="AM120" i="1"/>
  <c r="AN120" i="1"/>
  <c r="AO120" i="1"/>
  <c r="AP120" i="1"/>
  <c r="AQ120" i="1"/>
  <c r="AR120" i="1"/>
  <c r="AS120" i="1"/>
  <c r="AT120" i="1"/>
  <c r="AU120" i="1"/>
  <c r="AV120" i="1"/>
  <c r="AW120" i="1"/>
  <c r="AX120" i="1"/>
  <c r="AY120" i="1"/>
  <c r="AZ120" i="1"/>
  <c r="BA120" i="1"/>
  <c r="BB120" i="1"/>
  <c r="BC120" i="1"/>
  <c r="BD120" i="1"/>
  <c r="BE120" i="1"/>
  <c r="BF120" i="1"/>
  <c r="BG12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Y130" i="1"/>
  <c r="Z130" i="1"/>
  <c r="AA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/>
  <c r="AN130" i="1"/>
  <c r="AO130" i="1"/>
  <c r="AP130" i="1"/>
  <c r="AQ130" i="1"/>
  <c r="AR130" i="1"/>
  <c r="AS130" i="1"/>
  <c r="AT130" i="1"/>
  <c r="AU130" i="1"/>
  <c r="AV130" i="1"/>
  <c r="AW130" i="1"/>
  <c r="AX130" i="1"/>
  <c r="AY130" i="1"/>
  <c r="AZ130" i="1"/>
  <c r="BA130" i="1"/>
  <c r="BB130" i="1"/>
  <c r="BC130" i="1"/>
  <c r="BD130" i="1"/>
  <c r="BE130" i="1"/>
  <c r="BF130" i="1"/>
  <c r="BG130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Y135" i="1"/>
  <c r="Z135" i="1"/>
  <c r="AA135" i="1"/>
  <c r="AB135" i="1"/>
  <c r="AC135" i="1"/>
  <c r="AD135" i="1"/>
  <c r="AF135" i="1"/>
  <c r="AG135" i="1"/>
  <c r="AH135" i="1"/>
  <c r="AI135" i="1"/>
  <c r="AJ135" i="1"/>
  <c r="AK135" i="1"/>
  <c r="AL135" i="1"/>
  <c r="AM135" i="1"/>
  <c r="AN135" i="1"/>
  <c r="AO135" i="1"/>
  <c r="AP135" i="1"/>
  <c r="AQ135" i="1"/>
  <c r="AR135" i="1"/>
  <c r="AS135" i="1"/>
  <c r="AT135" i="1"/>
  <c r="AU135" i="1"/>
  <c r="AV135" i="1"/>
  <c r="AW135" i="1"/>
  <c r="AX135" i="1"/>
  <c r="AY135" i="1"/>
  <c r="AZ135" i="1"/>
  <c r="BA135" i="1"/>
  <c r="BB135" i="1"/>
  <c r="BC135" i="1"/>
  <c r="BD135" i="1"/>
  <c r="BE135" i="1"/>
  <c r="BF135" i="1"/>
  <c r="BG135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AC140" i="1"/>
  <c r="AD140" i="1"/>
  <c r="AE140" i="1"/>
  <c r="AF140" i="1"/>
  <c r="AG140" i="1"/>
  <c r="AH140" i="1"/>
  <c r="AI140" i="1"/>
  <c r="AJ140" i="1"/>
  <c r="AK140" i="1"/>
  <c r="AL140" i="1"/>
  <c r="AM140" i="1"/>
  <c r="AN140" i="1"/>
  <c r="AO140" i="1"/>
  <c r="AP140" i="1"/>
  <c r="AQ140" i="1"/>
  <c r="AR140" i="1"/>
  <c r="AS140" i="1"/>
  <c r="AT140" i="1"/>
  <c r="AU140" i="1"/>
  <c r="AV140" i="1"/>
  <c r="AW140" i="1"/>
  <c r="AX140" i="1"/>
  <c r="AY140" i="1"/>
  <c r="AZ140" i="1"/>
  <c r="BA140" i="1"/>
  <c r="BB140" i="1"/>
  <c r="BC140" i="1"/>
  <c r="BD140" i="1"/>
  <c r="BE140" i="1"/>
  <c r="BF140" i="1"/>
  <c r="BG140" i="1"/>
  <c r="L145" i="1"/>
  <c r="M145" i="1"/>
  <c r="N145" i="1"/>
  <c r="O145" i="1"/>
  <c r="P145" i="1"/>
  <c r="Q145" i="1"/>
  <c r="R145" i="1"/>
  <c r="S145" i="1"/>
  <c r="T145" i="1"/>
  <c r="U145" i="1"/>
  <c r="V145" i="1"/>
  <c r="W145" i="1"/>
  <c r="X145" i="1"/>
  <c r="Y145" i="1"/>
  <c r="Z145" i="1"/>
  <c r="AA145" i="1"/>
  <c r="AB145" i="1"/>
  <c r="AD145" i="1"/>
  <c r="AE145" i="1"/>
  <c r="AF145" i="1"/>
  <c r="AG145" i="1"/>
  <c r="AH145" i="1"/>
  <c r="AI145" i="1"/>
  <c r="AJ145" i="1"/>
  <c r="AK145" i="1"/>
  <c r="AL145" i="1"/>
  <c r="AM145" i="1"/>
  <c r="AN145" i="1"/>
  <c r="AO145" i="1"/>
  <c r="AP145" i="1"/>
  <c r="AQ145" i="1"/>
  <c r="AR145" i="1"/>
  <c r="AS145" i="1"/>
  <c r="AT145" i="1"/>
  <c r="AU145" i="1"/>
  <c r="AV145" i="1"/>
  <c r="AW145" i="1"/>
  <c r="AX145" i="1"/>
  <c r="AY145" i="1"/>
  <c r="AZ145" i="1"/>
  <c r="BA145" i="1"/>
  <c r="BB145" i="1"/>
  <c r="BC145" i="1"/>
  <c r="BD145" i="1"/>
  <c r="BE145" i="1"/>
  <c r="BF145" i="1"/>
  <c r="BG145" i="1"/>
  <c r="L155" i="1"/>
  <c r="M155" i="1"/>
  <c r="N155" i="1"/>
  <c r="O155" i="1"/>
  <c r="P155" i="1"/>
  <c r="Q155" i="1"/>
  <c r="R155" i="1"/>
  <c r="S155" i="1"/>
  <c r="T155" i="1"/>
  <c r="U155" i="1"/>
  <c r="V155" i="1"/>
  <c r="W155" i="1"/>
  <c r="X155" i="1"/>
  <c r="Y155" i="1"/>
  <c r="Z155" i="1"/>
  <c r="AA155" i="1"/>
  <c r="AB155" i="1"/>
  <c r="AC155" i="1"/>
  <c r="AG155" i="1"/>
  <c r="AH155" i="1"/>
  <c r="AI155" i="1"/>
  <c r="AJ155" i="1"/>
  <c r="AK155" i="1"/>
  <c r="AL155" i="1"/>
  <c r="AM155" i="1"/>
  <c r="AN155" i="1"/>
  <c r="AO155" i="1"/>
  <c r="AP155" i="1"/>
  <c r="AQ155" i="1"/>
  <c r="AR155" i="1"/>
  <c r="AS155" i="1"/>
  <c r="AT155" i="1"/>
  <c r="AU155" i="1"/>
  <c r="AV155" i="1"/>
  <c r="AW155" i="1"/>
  <c r="AX155" i="1"/>
  <c r="AY155" i="1"/>
  <c r="AZ155" i="1"/>
  <c r="BA155" i="1"/>
  <c r="BB155" i="1"/>
  <c r="BC155" i="1"/>
  <c r="BD155" i="1"/>
  <c r="BE155" i="1"/>
  <c r="BF155" i="1"/>
  <c r="BG155" i="1"/>
  <c r="L160" i="1"/>
  <c r="M160" i="1"/>
  <c r="N160" i="1"/>
  <c r="O160" i="1"/>
  <c r="P160" i="1"/>
  <c r="Q160" i="1"/>
  <c r="R160" i="1"/>
  <c r="S160" i="1"/>
  <c r="T160" i="1"/>
  <c r="U160" i="1"/>
  <c r="V160" i="1"/>
  <c r="W160" i="1"/>
  <c r="X160" i="1"/>
  <c r="Y160" i="1"/>
  <c r="Z160" i="1"/>
  <c r="AA160" i="1"/>
  <c r="AB160" i="1"/>
  <c r="AC160" i="1"/>
  <c r="AG160" i="1"/>
  <c r="AH160" i="1"/>
  <c r="AI160" i="1"/>
  <c r="AJ160" i="1"/>
  <c r="AK160" i="1"/>
  <c r="AL160" i="1"/>
  <c r="AM160" i="1"/>
  <c r="AN160" i="1"/>
  <c r="AO160" i="1"/>
  <c r="AP160" i="1"/>
  <c r="AQ160" i="1"/>
  <c r="AR160" i="1"/>
  <c r="AS160" i="1"/>
  <c r="AT160" i="1"/>
  <c r="AU160" i="1"/>
  <c r="AV160" i="1"/>
  <c r="AW160" i="1"/>
  <c r="AX160" i="1"/>
  <c r="AY160" i="1"/>
  <c r="AZ160" i="1"/>
  <c r="BA160" i="1"/>
  <c r="BB160" i="1"/>
  <c r="BC160" i="1"/>
  <c r="BD160" i="1"/>
  <c r="BE160" i="1"/>
  <c r="BF160" i="1"/>
  <c r="BG16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G170" i="1"/>
  <c r="AH170" i="1"/>
  <c r="AI170" i="1"/>
  <c r="AJ170" i="1"/>
  <c r="AK170" i="1"/>
  <c r="AL170" i="1"/>
  <c r="AM170" i="1"/>
  <c r="AN170" i="1"/>
  <c r="AO170" i="1"/>
  <c r="AP170" i="1"/>
  <c r="AQ170" i="1"/>
  <c r="AR170" i="1"/>
  <c r="AS170" i="1"/>
  <c r="AT170" i="1"/>
  <c r="AU170" i="1"/>
  <c r="AV170" i="1"/>
  <c r="AW170" i="1"/>
  <c r="AX170" i="1"/>
  <c r="AY170" i="1"/>
  <c r="AZ170" i="1"/>
  <c r="BA170" i="1"/>
  <c r="BB170" i="1"/>
  <c r="BC170" i="1"/>
  <c r="BD170" i="1"/>
  <c r="BE170" i="1"/>
  <c r="BF170" i="1"/>
  <c r="BG170" i="1"/>
  <c r="L180" i="1"/>
  <c r="M180" i="1"/>
  <c r="N180" i="1"/>
  <c r="O180" i="1"/>
  <c r="P180" i="1"/>
  <c r="Q180" i="1"/>
  <c r="R180" i="1"/>
  <c r="S180" i="1"/>
  <c r="T180" i="1"/>
  <c r="U180" i="1"/>
  <c r="V180" i="1"/>
  <c r="W180" i="1"/>
  <c r="X180" i="1"/>
  <c r="Y180" i="1"/>
  <c r="Z180" i="1"/>
  <c r="AA180" i="1"/>
  <c r="AB180" i="1"/>
  <c r="AC180" i="1"/>
  <c r="AD180" i="1"/>
  <c r="AF180" i="1"/>
  <c r="AG180" i="1"/>
  <c r="AH180" i="1"/>
  <c r="AI180" i="1"/>
  <c r="AJ180" i="1"/>
  <c r="AK180" i="1"/>
  <c r="AL180" i="1"/>
  <c r="AM180" i="1"/>
  <c r="AN180" i="1"/>
  <c r="AO180" i="1"/>
  <c r="AP180" i="1"/>
  <c r="AQ180" i="1"/>
  <c r="AR180" i="1"/>
  <c r="AS180" i="1"/>
  <c r="AT180" i="1"/>
  <c r="AU180" i="1"/>
  <c r="AV180" i="1"/>
  <c r="AW180" i="1"/>
  <c r="AX180" i="1"/>
  <c r="AY180" i="1"/>
  <c r="AZ180" i="1"/>
  <c r="BA180" i="1"/>
  <c r="BB180" i="1"/>
  <c r="BC180" i="1"/>
  <c r="BD180" i="1"/>
  <c r="BE180" i="1"/>
  <c r="BF180" i="1"/>
  <c r="BG180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Y195" i="1"/>
  <c r="Z195" i="1"/>
  <c r="AA195" i="1"/>
  <c r="AB195" i="1"/>
  <c r="AC195" i="1"/>
  <c r="AD195" i="1"/>
  <c r="AF195" i="1"/>
  <c r="AG195" i="1"/>
  <c r="AH195" i="1"/>
  <c r="AI195" i="1"/>
  <c r="AJ195" i="1"/>
  <c r="AK195" i="1"/>
  <c r="AL195" i="1"/>
  <c r="AM195" i="1"/>
  <c r="AN195" i="1"/>
  <c r="AO195" i="1"/>
  <c r="AP195" i="1"/>
  <c r="AQ195" i="1"/>
  <c r="AR195" i="1"/>
  <c r="AS195" i="1"/>
  <c r="AT195" i="1"/>
  <c r="AU195" i="1"/>
  <c r="AV195" i="1"/>
  <c r="AW195" i="1"/>
  <c r="AX195" i="1"/>
  <c r="AY195" i="1"/>
  <c r="AZ195" i="1"/>
  <c r="BA195" i="1"/>
  <c r="BB195" i="1"/>
  <c r="BC195" i="1"/>
  <c r="BD195" i="1"/>
  <c r="BE195" i="1"/>
  <c r="BF195" i="1"/>
  <c r="BG195" i="1"/>
  <c r="L185" i="1"/>
  <c r="M185" i="1"/>
  <c r="N185" i="1"/>
  <c r="O185" i="1"/>
  <c r="P185" i="1"/>
  <c r="Q185" i="1"/>
  <c r="R185" i="1"/>
  <c r="S185" i="1"/>
  <c r="T185" i="1"/>
  <c r="U185" i="1"/>
  <c r="V185" i="1"/>
  <c r="W185" i="1"/>
  <c r="X185" i="1"/>
  <c r="Y185" i="1"/>
  <c r="Z185" i="1"/>
  <c r="AA185" i="1"/>
  <c r="AB185" i="1"/>
  <c r="AC185" i="1"/>
  <c r="AD185" i="1"/>
  <c r="AF185" i="1"/>
  <c r="AG185" i="1"/>
  <c r="AH185" i="1"/>
  <c r="AI185" i="1"/>
  <c r="AJ185" i="1"/>
  <c r="AK185" i="1"/>
  <c r="AL185" i="1"/>
  <c r="AM185" i="1"/>
  <c r="AN185" i="1"/>
  <c r="AO185" i="1"/>
  <c r="AP185" i="1"/>
  <c r="AQ185" i="1"/>
  <c r="AR185" i="1"/>
  <c r="AS185" i="1"/>
  <c r="AT185" i="1"/>
  <c r="AU185" i="1"/>
  <c r="AV185" i="1"/>
  <c r="AW185" i="1"/>
  <c r="AX185" i="1"/>
  <c r="AY185" i="1"/>
  <c r="AZ185" i="1"/>
  <c r="BA185" i="1"/>
  <c r="BB185" i="1"/>
  <c r="BC185" i="1"/>
  <c r="BD185" i="1"/>
  <c r="BE185" i="1"/>
  <c r="BF185" i="1"/>
  <c r="BG185" i="1"/>
  <c r="L205" i="1"/>
  <c r="M205" i="1"/>
  <c r="N205" i="1"/>
  <c r="O205" i="1"/>
  <c r="P205" i="1"/>
  <c r="Q205" i="1"/>
  <c r="R205" i="1"/>
  <c r="S205" i="1"/>
  <c r="T205" i="1"/>
  <c r="U205" i="1"/>
  <c r="V205" i="1"/>
  <c r="W205" i="1"/>
  <c r="X205" i="1"/>
  <c r="Y205" i="1"/>
  <c r="Z205" i="1"/>
  <c r="AA205" i="1"/>
  <c r="AB205" i="1"/>
  <c r="AC205" i="1"/>
  <c r="AD205" i="1"/>
  <c r="AF205" i="1"/>
  <c r="AG205" i="1"/>
  <c r="AH205" i="1"/>
  <c r="AI205" i="1"/>
  <c r="AJ205" i="1"/>
  <c r="AK205" i="1"/>
  <c r="AL205" i="1"/>
  <c r="AM205" i="1"/>
  <c r="AN205" i="1"/>
  <c r="AO205" i="1"/>
  <c r="AP205" i="1"/>
  <c r="AQ205" i="1"/>
  <c r="AR205" i="1"/>
  <c r="AS205" i="1"/>
  <c r="AT205" i="1"/>
  <c r="AU205" i="1"/>
  <c r="AV205" i="1"/>
  <c r="AW205" i="1"/>
  <c r="AX205" i="1"/>
  <c r="AY205" i="1"/>
  <c r="AZ205" i="1"/>
  <c r="BA205" i="1"/>
  <c r="BB205" i="1"/>
  <c r="BC205" i="1"/>
  <c r="BD205" i="1"/>
  <c r="BE205" i="1"/>
  <c r="BF205" i="1"/>
  <c r="BG205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Y210" i="1"/>
  <c r="Z210" i="1"/>
  <c r="AA210" i="1"/>
  <c r="AB210" i="1"/>
  <c r="AC210" i="1"/>
  <c r="AD210" i="1"/>
  <c r="AF210" i="1"/>
  <c r="AG210" i="1"/>
  <c r="AH210" i="1"/>
  <c r="AI210" i="1"/>
  <c r="AJ210" i="1"/>
  <c r="AK210" i="1"/>
  <c r="AL210" i="1"/>
  <c r="AM210" i="1"/>
  <c r="AN210" i="1"/>
  <c r="AO210" i="1"/>
  <c r="AP210" i="1"/>
  <c r="AQ210" i="1"/>
  <c r="AR210" i="1"/>
  <c r="AS210" i="1"/>
  <c r="AT210" i="1"/>
  <c r="AU210" i="1"/>
  <c r="AV210" i="1"/>
  <c r="AW210" i="1"/>
  <c r="AX210" i="1"/>
  <c r="AY210" i="1"/>
  <c r="AZ210" i="1"/>
  <c r="BA210" i="1"/>
  <c r="BB210" i="1"/>
  <c r="BC210" i="1"/>
  <c r="BD210" i="1"/>
  <c r="BE210" i="1"/>
  <c r="BF210" i="1"/>
  <c r="BG210" i="1"/>
  <c r="L220" i="1"/>
  <c r="M220" i="1"/>
  <c r="N220" i="1"/>
  <c r="O220" i="1"/>
  <c r="P220" i="1"/>
  <c r="Q220" i="1"/>
  <c r="R220" i="1"/>
  <c r="S220" i="1"/>
  <c r="T220" i="1"/>
  <c r="U220" i="1"/>
  <c r="V220" i="1"/>
  <c r="W220" i="1"/>
  <c r="X220" i="1"/>
  <c r="Y220" i="1"/>
  <c r="Z220" i="1"/>
  <c r="AA220" i="1"/>
  <c r="AB220" i="1"/>
  <c r="AC220" i="1"/>
  <c r="AD220" i="1"/>
  <c r="AF220" i="1"/>
  <c r="AG220" i="1"/>
  <c r="AH220" i="1"/>
  <c r="AI220" i="1"/>
  <c r="AJ220" i="1"/>
  <c r="AK220" i="1"/>
  <c r="AL220" i="1"/>
  <c r="AM220" i="1"/>
  <c r="AN220" i="1"/>
  <c r="AO220" i="1"/>
  <c r="AP220" i="1"/>
  <c r="AQ220" i="1"/>
  <c r="AR220" i="1"/>
  <c r="AS220" i="1"/>
  <c r="AT220" i="1"/>
  <c r="AU220" i="1"/>
  <c r="AV220" i="1"/>
  <c r="AW220" i="1"/>
  <c r="AX220" i="1"/>
  <c r="AY220" i="1"/>
  <c r="AZ220" i="1"/>
  <c r="BA220" i="1"/>
  <c r="BB220" i="1"/>
  <c r="BC220" i="1"/>
  <c r="BD220" i="1"/>
  <c r="BE220" i="1"/>
  <c r="BF220" i="1"/>
  <c r="BG220" i="1"/>
  <c r="L230" i="1"/>
  <c r="M230" i="1"/>
  <c r="N230" i="1"/>
  <c r="O230" i="1"/>
  <c r="P230" i="1"/>
  <c r="Q230" i="1"/>
  <c r="R230" i="1"/>
  <c r="S230" i="1"/>
  <c r="T230" i="1"/>
  <c r="U230" i="1"/>
  <c r="V230" i="1"/>
  <c r="W230" i="1"/>
  <c r="X230" i="1"/>
  <c r="Y230" i="1"/>
  <c r="Z230" i="1"/>
  <c r="AA230" i="1"/>
  <c r="AB230" i="1"/>
  <c r="AC230" i="1"/>
  <c r="AD230" i="1"/>
  <c r="AF230" i="1"/>
  <c r="AG230" i="1"/>
  <c r="AH230" i="1"/>
  <c r="AI230" i="1"/>
  <c r="AJ230" i="1"/>
  <c r="AK230" i="1"/>
  <c r="AL230" i="1"/>
  <c r="AM230" i="1"/>
  <c r="AN230" i="1"/>
  <c r="AO230" i="1"/>
  <c r="AP230" i="1"/>
  <c r="AQ230" i="1"/>
  <c r="AR230" i="1"/>
  <c r="AS230" i="1"/>
  <c r="AT230" i="1"/>
  <c r="AU230" i="1"/>
  <c r="AV230" i="1"/>
  <c r="AW230" i="1"/>
  <c r="AX230" i="1"/>
  <c r="AY230" i="1"/>
  <c r="AZ230" i="1"/>
  <c r="BA230" i="1"/>
  <c r="BB230" i="1"/>
  <c r="BC230" i="1"/>
  <c r="BD230" i="1"/>
  <c r="BE230" i="1"/>
  <c r="BF230" i="1"/>
  <c r="BG230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Y235" i="1"/>
  <c r="Z235" i="1"/>
  <c r="AA235" i="1"/>
  <c r="AB235" i="1"/>
  <c r="AC235" i="1"/>
  <c r="AD235" i="1"/>
  <c r="AF235" i="1"/>
  <c r="AG235" i="1"/>
  <c r="AH235" i="1"/>
  <c r="AI235" i="1"/>
  <c r="AJ235" i="1"/>
  <c r="AK235" i="1"/>
  <c r="AL235" i="1"/>
  <c r="AM235" i="1"/>
  <c r="AN235" i="1"/>
  <c r="AO235" i="1"/>
  <c r="AP235" i="1"/>
  <c r="AQ235" i="1"/>
  <c r="AR235" i="1"/>
  <c r="AS235" i="1"/>
  <c r="AT235" i="1"/>
  <c r="AU235" i="1"/>
  <c r="AV235" i="1"/>
  <c r="AW235" i="1"/>
  <c r="AX235" i="1"/>
  <c r="AY235" i="1"/>
  <c r="AZ235" i="1"/>
  <c r="BA235" i="1"/>
  <c r="BB235" i="1"/>
  <c r="BC235" i="1"/>
  <c r="BD235" i="1"/>
  <c r="BE235" i="1"/>
  <c r="BF235" i="1"/>
  <c r="BG235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Y245" i="1"/>
  <c r="Z245" i="1"/>
  <c r="AA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AN245" i="1"/>
  <c r="AO245" i="1"/>
  <c r="AP245" i="1"/>
  <c r="AQ245" i="1"/>
  <c r="AR245" i="1"/>
  <c r="AS245" i="1"/>
  <c r="AT245" i="1"/>
  <c r="AU245" i="1"/>
  <c r="AV245" i="1"/>
  <c r="AW245" i="1"/>
  <c r="AX245" i="1"/>
  <c r="AY245" i="1"/>
  <c r="AZ245" i="1"/>
  <c r="BA245" i="1"/>
  <c r="BB245" i="1"/>
  <c r="BC245" i="1"/>
  <c r="BD245" i="1"/>
  <c r="BE245" i="1"/>
  <c r="BF245" i="1"/>
  <c r="BG245" i="1"/>
  <c r="K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AN255" i="1"/>
  <c r="AO255" i="1"/>
  <c r="AP255" i="1"/>
  <c r="AQ255" i="1"/>
  <c r="AR255" i="1"/>
  <c r="AS255" i="1"/>
  <c r="AT255" i="1"/>
  <c r="AU255" i="1"/>
  <c r="AV255" i="1"/>
  <c r="AW255" i="1"/>
  <c r="AX255" i="1"/>
  <c r="AY255" i="1"/>
  <c r="AZ255" i="1"/>
  <c r="BA255" i="1"/>
  <c r="BB255" i="1"/>
  <c r="BC255" i="1"/>
  <c r="BD255" i="1"/>
  <c r="BE255" i="1"/>
  <c r="BF255" i="1"/>
  <c r="BG255" i="1"/>
  <c r="K260" i="1"/>
  <c r="L260" i="1"/>
  <c r="M260" i="1"/>
  <c r="N260" i="1"/>
  <c r="O260" i="1"/>
  <c r="P260" i="1"/>
  <c r="Q260" i="1"/>
  <c r="R260" i="1"/>
  <c r="S260" i="1"/>
  <c r="T260" i="1"/>
  <c r="U260" i="1"/>
  <c r="V260" i="1"/>
  <c r="W260" i="1"/>
  <c r="X260" i="1"/>
  <c r="Y260" i="1"/>
  <c r="Z260" i="1"/>
  <c r="AA260" i="1"/>
  <c r="AB260" i="1"/>
  <c r="AC260" i="1"/>
  <c r="AE260" i="1"/>
  <c r="AF260" i="1"/>
  <c r="AG260" i="1"/>
  <c r="AH260" i="1"/>
  <c r="AI260" i="1"/>
  <c r="AJ260" i="1"/>
  <c r="AK260" i="1"/>
  <c r="AL260" i="1"/>
  <c r="AM260" i="1"/>
  <c r="AN260" i="1"/>
  <c r="AO260" i="1"/>
  <c r="AP260" i="1"/>
  <c r="AQ260" i="1"/>
  <c r="AR260" i="1"/>
  <c r="AS260" i="1"/>
  <c r="AT260" i="1"/>
  <c r="AU260" i="1"/>
  <c r="AV260" i="1"/>
  <c r="AW260" i="1"/>
  <c r="AX260" i="1"/>
  <c r="AY260" i="1"/>
  <c r="AZ260" i="1"/>
  <c r="BA260" i="1"/>
  <c r="BB260" i="1"/>
  <c r="BC260" i="1"/>
  <c r="BD260" i="1"/>
  <c r="BE260" i="1"/>
  <c r="BF260" i="1"/>
  <c r="BG260" i="1"/>
  <c r="J270" i="1"/>
  <c r="K270" i="1"/>
  <c r="L270" i="1"/>
  <c r="M270" i="1"/>
  <c r="N270" i="1"/>
  <c r="O270" i="1"/>
  <c r="P270" i="1"/>
  <c r="Q270" i="1"/>
  <c r="R270" i="1"/>
  <c r="S270" i="1"/>
  <c r="T270" i="1"/>
  <c r="U270" i="1"/>
  <c r="V270" i="1"/>
  <c r="W270" i="1"/>
  <c r="X270" i="1"/>
  <c r="Y270" i="1"/>
  <c r="Z270" i="1"/>
  <c r="AA270" i="1"/>
  <c r="AB270" i="1"/>
  <c r="AC270" i="1"/>
  <c r="AD270" i="1"/>
  <c r="AE270" i="1"/>
  <c r="AG270" i="1"/>
  <c r="AH270" i="1"/>
  <c r="AI270" i="1"/>
  <c r="AJ270" i="1"/>
  <c r="AK270" i="1"/>
  <c r="AL270" i="1"/>
  <c r="AM270" i="1"/>
  <c r="AN270" i="1"/>
  <c r="AO270" i="1"/>
  <c r="AP270" i="1"/>
  <c r="AQ270" i="1"/>
  <c r="AR270" i="1"/>
  <c r="AS270" i="1"/>
  <c r="AT270" i="1"/>
  <c r="AU270" i="1"/>
  <c r="AV270" i="1"/>
  <c r="AW270" i="1"/>
  <c r="AX270" i="1"/>
  <c r="AY270" i="1"/>
  <c r="AZ270" i="1"/>
  <c r="BA270" i="1"/>
  <c r="BB270" i="1"/>
  <c r="BC270" i="1"/>
  <c r="BD270" i="1"/>
  <c r="BE270" i="1"/>
  <c r="BF270" i="1"/>
  <c r="BG270" i="1"/>
  <c r="L280" i="1"/>
  <c r="M280" i="1"/>
  <c r="N280" i="1"/>
  <c r="O280" i="1"/>
  <c r="P280" i="1"/>
  <c r="Q280" i="1"/>
  <c r="R280" i="1"/>
  <c r="S280" i="1"/>
  <c r="T280" i="1"/>
  <c r="U280" i="1"/>
  <c r="V280" i="1"/>
  <c r="W280" i="1"/>
  <c r="X280" i="1"/>
  <c r="Y280" i="1"/>
  <c r="Z280" i="1"/>
  <c r="AA280" i="1"/>
  <c r="AB280" i="1"/>
  <c r="AC280" i="1"/>
  <c r="AD280" i="1"/>
  <c r="AE280" i="1"/>
  <c r="AG280" i="1"/>
  <c r="AH280" i="1"/>
  <c r="AI280" i="1"/>
  <c r="AJ280" i="1"/>
  <c r="AK280" i="1"/>
  <c r="AL280" i="1"/>
  <c r="AM280" i="1"/>
  <c r="AN280" i="1"/>
  <c r="AO280" i="1"/>
  <c r="AP280" i="1"/>
  <c r="AQ280" i="1"/>
  <c r="AR280" i="1"/>
  <c r="AS280" i="1"/>
  <c r="AT280" i="1"/>
  <c r="AU280" i="1"/>
  <c r="AV280" i="1"/>
  <c r="AW280" i="1"/>
  <c r="AX280" i="1"/>
  <c r="AY280" i="1"/>
  <c r="AZ280" i="1"/>
  <c r="BA280" i="1"/>
  <c r="BB280" i="1"/>
  <c r="BC280" i="1"/>
  <c r="BD280" i="1"/>
  <c r="BE280" i="1"/>
  <c r="BF280" i="1"/>
  <c r="BG280" i="1"/>
  <c r="L285" i="1"/>
  <c r="M285" i="1"/>
  <c r="N285" i="1"/>
  <c r="O285" i="1"/>
  <c r="P285" i="1"/>
  <c r="Q285" i="1"/>
  <c r="R285" i="1"/>
  <c r="S285" i="1"/>
  <c r="T285" i="1"/>
  <c r="U285" i="1"/>
  <c r="V285" i="1"/>
  <c r="W285" i="1"/>
  <c r="X285" i="1"/>
  <c r="Y285" i="1"/>
  <c r="Z285" i="1"/>
  <c r="AA285" i="1"/>
  <c r="AB285" i="1"/>
  <c r="AC285" i="1"/>
  <c r="AD285" i="1"/>
  <c r="AE285" i="1"/>
  <c r="AF285" i="1"/>
  <c r="AG285" i="1"/>
  <c r="AH285" i="1"/>
  <c r="AI285" i="1"/>
  <c r="AJ285" i="1"/>
  <c r="AK285" i="1"/>
  <c r="AL285" i="1"/>
  <c r="AM285" i="1"/>
  <c r="AN285" i="1"/>
  <c r="AO285" i="1"/>
  <c r="AP285" i="1"/>
  <c r="AQ285" i="1"/>
  <c r="AR285" i="1"/>
  <c r="AS285" i="1"/>
  <c r="AT285" i="1"/>
  <c r="AU285" i="1"/>
  <c r="AV285" i="1"/>
  <c r="AW285" i="1"/>
  <c r="AX285" i="1"/>
  <c r="AY285" i="1"/>
  <c r="AZ285" i="1"/>
  <c r="BA285" i="1"/>
  <c r="BB285" i="1"/>
  <c r="BC285" i="1"/>
  <c r="BD285" i="1"/>
  <c r="BE285" i="1"/>
  <c r="BF285" i="1"/>
  <c r="BG285" i="1"/>
  <c r="L295" i="1"/>
  <c r="M295" i="1"/>
  <c r="N295" i="1"/>
  <c r="O295" i="1"/>
  <c r="P295" i="1"/>
  <c r="Q295" i="1"/>
  <c r="R295" i="1"/>
  <c r="S295" i="1"/>
  <c r="T295" i="1"/>
  <c r="U295" i="1"/>
  <c r="V295" i="1"/>
  <c r="W295" i="1"/>
  <c r="X295" i="1"/>
  <c r="Y295" i="1"/>
  <c r="Z295" i="1"/>
  <c r="AA295" i="1"/>
  <c r="AB295" i="1"/>
  <c r="AC295" i="1"/>
  <c r="AD295" i="1"/>
  <c r="AE295" i="1"/>
  <c r="AF295" i="1"/>
  <c r="AG295" i="1"/>
  <c r="AH295" i="1"/>
  <c r="AI295" i="1"/>
  <c r="AJ295" i="1"/>
  <c r="AK295" i="1"/>
  <c r="AL295" i="1"/>
  <c r="AM295" i="1"/>
  <c r="AN295" i="1"/>
  <c r="AO295" i="1"/>
  <c r="AP295" i="1"/>
  <c r="AQ295" i="1"/>
  <c r="AR295" i="1"/>
  <c r="AS295" i="1"/>
  <c r="AT295" i="1"/>
  <c r="AU295" i="1"/>
  <c r="AV295" i="1"/>
  <c r="AW295" i="1"/>
  <c r="AX295" i="1"/>
  <c r="AY295" i="1"/>
  <c r="AZ295" i="1"/>
  <c r="BA295" i="1"/>
  <c r="BB295" i="1"/>
  <c r="BC295" i="1"/>
  <c r="BD295" i="1"/>
  <c r="BE295" i="1"/>
  <c r="BF295" i="1"/>
  <c r="BG295" i="1"/>
  <c r="X305" i="1"/>
  <c r="Y305" i="1"/>
  <c r="Z305" i="1"/>
  <c r="AA305" i="1"/>
  <c r="AB305" i="1"/>
  <c r="AC305" i="1"/>
  <c r="AD305" i="1"/>
  <c r="AE305" i="1"/>
  <c r="AF305" i="1"/>
  <c r="AG305" i="1"/>
  <c r="AH305" i="1"/>
  <c r="AI305" i="1"/>
  <c r="AJ305" i="1"/>
  <c r="AK305" i="1"/>
  <c r="AL305" i="1"/>
  <c r="AM305" i="1"/>
  <c r="AN305" i="1"/>
  <c r="AO305" i="1"/>
  <c r="AP305" i="1"/>
  <c r="AQ305" i="1"/>
  <c r="AR305" i="1"/>
  <c r="AS305" i="1"/>
  <c r="AT305" i="1"/>
  <c r="AU305" i="1"/>
  <c r="AV305" i="1"/>
  <c r="AW305" i="1"/>
  <c r="AX305" i="1"/>
  <c r="AY305" i="1"/>
  <c r="AZ305" i="1"/>
  <c r="BA305" i="1"/>
  <c r="BB305" i="1"/>
  <c r="BC305" i="1"/>
  <c r="BD305" i="1"/>
  <c r="BE305" i="1"/>
  <c r="BF305" i="1"/>
  <c r="BG305" i="1"/>
  <c r="L305" i="1"/>
  <c r="M305" i="1"/>
  <c r="N305" i="1"/>
  <c r="O305" i="1"/>
  <c r="P305" i="1"/>
  <c r="Q305" i="1"/>
  <c r="R305" i="1"/>
  <c r="S305" i="1"/>
  <c r="T305" i="1"/>
  <c r="V305" i="1"/>
  <c r="W305" i="1"/>
  <c r="H20" i="1"/>
  <c r="I20" i="1"/>
  <c r="J20" i="1"/>
  <c r="K20" i="1"/>
  <c r="H25" i="1"/>
  <c r="I25" i="1"/>
  <c r="J25" i="1"/>
  <c r="K25" i="1"/>
  <c r="H30" i="1"/>
  <c r="I30" i="1"/>
  <c r="J30" i="1"/>
  <c r="K30" i="1"/>
  <c r="H35" i="1"/>
  <c r="I35" i="1"/>
  <c r="J35" i="1"/>
  <c r="K35" i="1"/>
  <c r="H45" i="1"/>
  <c r="I45" i="1"/>
  <c r="J45" i="1"/>
  <c r="K45" i="1"/>
  <c r="H50" i="1"/>
  <c r="I50" i="1"/>
  <c r="J50" i="1"/>
  <c r="K50" i="1"/>
  <c r="H55" i="1"/>
  <c r="I55" i="1"/>
  <c r="J55" i="1"/>
  <c r="K55" i="1"/>
  <c r="H60" i="1"/>
  <c r="I60" i="1"/>
  <c r="J60" i="1"/>
  <c r="K60" i="1"/>
  <c r="H65" i="1"/>
  <c r="I65" i="1"/>
  <c r="J65" i="1"/>
  <c r="K65" i="1"/>
  <c r="H70" i="1"/>
  <c r="I70" i="1"/>
  <c r="J70" i="1"/>
  <c r="K70" i="1"/>
  <c r="H75" i="1"/>
  <c r="I75" i="1"/>
  <c r="J75" i="1"/>
  <c r="K75" i="1"/>
  <c r="H80" i="1"/>
  <c r="I80" i="1"/>
  <c r="J80" i="1"/>
  <c r="H85" i="1"/>
  <c r="I85" i="1"/>
  <c r="J85" i="1"/>
  <c r="K85" i="1"/>
  <c r="H95" i="1"/>
  <c r="I95" i="1"/>
  <c r="J95" i="1"/>
  <c r="K95" i="1"/>
  <c r="H100" i="1"/>
  <c r="I100" i="1"/>
  <c r="J100" i="1"/>
  <c r="K100" i="1"/>
  <c r="H105" i="1"/>
  <c r="I105" i="1"/>
  <c r="J105" i="1"/>
  <c r="H110" i="1"/>
  <c r="I110" i="1"/>
  <c r="J110" i="1"/>
  <c r="K110" i="1"/>
  <c r="H115" i="1"/>
  <c r="I115" i="1"/>
  <c r="J115" i="1"/>
  <c r="K115" i="1"/>
  <c r="H120" i="1"/>
  <c r="I120" i="1"/>
  <c r="J120" i="1"/>
  <c r="K120" i="1"/>
  <c r="H125" i="1"/>
  <c r="I125" i="1"/>
  <c r="J125" i="1"/>
  <c r="K125" i="1"/>
  <c r="H130" i="1"/>
  <c r="I130" i="1"/>
  <c r="J130" i="1"/>
  <c r="K130" i="1"/>
  <c r="H135" i="1"/>
  <c r="I135" i="1"/>
  <c r="J135" i="1"/>
  <c r="H140" i="1"/>
  <c r="I140" i="1"/>
  <c r="J140" i="1"/>
  <c r="K140" i="1"/>
  <c r="H145" i="1"/>
  <c r="I145" i="1"/>
  <c r="J145" i="1"/>
  <c r="K145" i="1"/>
  <c r="H150" i="1"/>
  <c r="I150" i="1"/>
  <c r="J150" i="1"/>
  <c r="K150" i="1"/>
  <c r="H155" i="1"/>
  <c r="I155" i="1"/>
  <c r="J155" i="1"/>
  <c r="K155" i="1"/>
  <c r="H160" i="1"/>
  <c r="I160" i="1"/>
  <c r="J160" i="1"/>
  <c r="K160" i="1"/>
  <c r="H165" i="1"/>
  <c r="I165" i="1"/>
  <c r="J165" i="1"/>
  <c r="K165" i="1"/>
  <c r="H170" i="1"/>
  <c r="I170" i="1"/>
  <c r="J170" i="1"/>
  <c r="K170" i="1"/>
  <c r="H175" i="1"/>
  <c r="I175" i="1"/>
  <c r="J175" i="1"/>
  <c r="K175" i="1"/>
  <c r="H180" i="1"/>
  <c r="I180" i="1"/>
  <c r="J180" i="1"/>
  <c r="K180" i="1"/>
  <c r="H185" i="1"/>
  <c r="I185" i="1"/>
  <c r="J185" i="1"/>
  <c r="K185" i="1"/>
  <c r="H190" i="1"/>
  <c r="I190" i="1"/>
  <c r="J190" i="1"/>
  <c r="K190" i="1"/>
  <c r="H195" i="1"/>
  <c r="I195" i="1"/>
  <c r="J195" i="1"/>
  <c r="K195" i="1"/>
  <c r="H200" i="1"/>
  <c r="I200" i="1"/>
  <c r="J200" i="1"/>
  <c r="K200" i="1"/>
  <c r="H205" i="1"/>
  <c r="I205" i="1"/>
  <c r="J205" i="1"/>
  <c r="K205" i="1"/>
  <c r="H210" i="1"/>
  <c r="I210" i="1"/>
  <c r="J210" i="1"/>
  <c r="K210" i="1"/>
  <c r="H215" i="1"/>
  <c r="I215" i="1"/>
  <c r="J215" i="1"/>
  <c r="K215" i="1"/>
  <c r="H220" i="1"/>
  <c r="I220" i="1"/>
  <c r="J220" i="1"/>
  <c r="K220" i="1"/>
  <c r="H225" i="1"/>
  <c r="I225" i="1"/>
  <c r="J225" i="1"/>
  <c r="K225" i="1"/>
  <c r="H230" i="1"/>
  <c r="I230" i="1"/>
  <c r="J230" i="1"/>
  <c r="K230" i="1"/>
  <c r="H235" i="1"/>
  <c r="I235" i="1"/>
  <c r="J235" i="1"/>
  <c r="K235" i="1"/>
  <c r="H240" i="1"/>
  <c r="I240" i="1"/>
  <c r="J240" i="1"/>
  <c r="K240" i="1"/>
  <c r="H245" i="1"/>
  <c r="I245" i="1"/>
  <c r="J245" i="1"/>
  <c r="K245" i="1"/>
  <c r="H250" i="1"/>
  <c r="I250" i="1"/>
  <c r="J250" i="1"/>
  <c r="K250" i="1"/>
  <c r="H255" i="1"/>
  <c r="I255" i="1"/>
  <c r="J255" i="1"/>
  <c r="H260" i="1"/>
  <c r="I260" i="1"/>
  <c r="J260" i="1"/>
  <c r="H265" i="1"/>
  <c r="I265" i="1"/>
  <c r="J265" i="1"/>
  <c r="K265" i="1"/>
  <c r="H270" i="1"/>
  <c r="I270" i="1"/>
  <c r="H275" i="1"/>
  <c r="H280" i="1"/>
  <c r="I280" i="1"/>
  <c r="J280" i="1"/>
  <c r="K280" i="1"/>
  <c r="H285" i="1"/>
  <c r="I285" i="1"/>
  <c r="J285" i="1"/>
  <c r="K285" i="1"/>
  <c r="H295" i="1"/>
  <c r="I295" i="1"/>
  <c r="J295" i="1"/>
  <c r="K295" i="1"/>
  <c r="H305" i="1"/>
  <c r="I305" i="1"/>
  <c r="J305" i="1"/>
  <c r="K305" i="1"/>
  <c r="E12" i="1"/>
  <c r="AD9" i="2" s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I15" i="1"/>
  <c r="F9" i="2"/>
  <c r="C5" i="1"/>
  <c r="AE9" i="1" l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AD29" i="1"/>
  <c r="AF9" i="1" l="1"/>
  <c r="AD34" i="1"/>
  <c r="AC19" i="1"/>
  <c r="AC24" i="1"/>
  <c r="AG9" i="1" l="1"/>
  <c r="AB17" i="2"/>
  <c r="AB28" i="2"/>
  <c r="AB29" i="2"/>
  <c r="AH9" i="1" l="1"/>
  <c r="AI9" i="1" s="1"/>
  <c r="AJ9" i="1" s="1"/>
  <c r="AK9" i="1" s="1"/>
  <c r="AL9" i="1" s="1"/>
  <c r="AM9" i="1" s="1"/>
  <c r="AN9" i="1" s="1"/>
  <c r="AO9" i="1" s="1"/>
  <c r="AP9" i="1" s="1"/>
  <c r="AC304" i="1"/>
  <c r="AD294" i="1"/>
  <c r="AC289" i="1"/>
  <c r="AD284" i="1"/>
  <c r="AE274" i="1"/>
  <c r="AE279" i="1"/>
  <c r="AC259" i="1"/>
  <c r="AE264" i="1" s="1"/>
  <c r="AC254" i="1"/>
  <c r="AD239" i="1"/>
  <c r="AD234" i="1"/>
  <c r="AD199" i="1"/>
  <c r="AD204" i="1"/>
  <c r="AD209" i="1"/>
  <c r="AD214" i="1"/>
  <c r="AD219" i="1" s="1"/>
  <c r="AD224" i="1"/>
  <c r="AD229" i="1"/>
  <c r="AD174" i="1"/>
  <c r="AD179" i="1"/>
  <c r="AD184" i="1"/>
  <c r="AD154" i="1"/>
  <c r="AD159" i="1"/>
  <c r="AB139" i="1"/>
  <c r="AD134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AQ109" i="1"/>
  <c r="AR109" i="1"/>
  <c r="AS109" i="1"/>
  <c r="AT109" i="1"/>
  <c r="AU109" i="1"/>
  <c r="AV109" i="1"/>
  <c r="AW109" i="1"/>
  <c r="AX109" i="1"/>
  <c r="AY109" i="1"/>
  <c r="AZ109" i="1"/>
  <c r="BA109" i="1"/>
  <c r="BB109" i="1"/>
  <c r="BC109" i="1"/>
  <c r="BD109" i="1"/>
  <c r="BE109" i="1"/>
  <c r="BF109" i="1"/>
  <c r="BG109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Q114" i="1"/>
  <c r="AR114" i="1"/>
  <c r="AS114" i="1"/>
  <c r="AT114" i="1"/>
  <c r="AU114" i="1"/>
  <c r="AV114" i="1"/>
  <c r="AW114" i="1"/>
  <c r="AX114" i="1"/>
  <c r="AY114" i="1"/>
  <c r="AZ114" i="1"/>
  <c r="BA114" i="1"/>
  <c r="BB114" i="1"/>
  <c r="BC114" i="1"/>
  <c r="BD114" i="1"/>
  <c r="BE114" i="1"/>
  <c r="BF114" i="1"/>
  <c r="BG114" i="1"/>
  <c r="AC124" i="1"/>
  <c r="AC9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Z89" i="1"/>
  <c r="BA89" i="1"/>
  <c r="BB89" i="1"/>
  <c r="BC89" i="1"/>
  <c r="BD89" i="1"/>
  <c r="BE89" i="1"/>
  <c r="BF89" i="1"/>
  <c r="BG89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B94" i="1"/>
  <c r="BC94" i="1"/>
  <c r="BD94" i="1"/>
  <c r="BE94" i="1"/>
  <c r="BF94" i="1"/>
  <c r="BG94" i="1"/>
  <c r="AC74" i="1"/>
  <c r="AC79" i="1"/>
  <c r="AC8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AC54" i="1"/>
  <c r="AC59" i="1"/>
  <c r="AD149" i="1"/>
  <c r="AD129" i="1"/>
  <c r="AC119" i="1"/>
  <c r="AD104" i="1"/>
  <c r="AD27" i="2"/>
  <c r="E13" i="1"/>
  <c r="AQ9" i="1" l="1"/>
  <c r="E114" i="1"/>
  <c r="E64" i="1"/>
  <c r="E109" i="1"/>
  <c r="F11" i="1"/>
  <c r="N55" i="1"/>
  <c r="BE55" i="1"/>
  <c r="AE55" i="1"/>
  <c r="S55" i="1"/>
  <c r="T55" i="1"/>
  <c r="BD55" i="1"/>
  <c r="U55" i="1"/>
  <c r="AF55" i="1"/>
  <c r="AG55" i="1"/>
  <c r="AQ55" i="1"/>
  <c r="BC55" i="1"/>
  <c r="AR55" i="1"/>
  <c r="AS55" i="1"/>
  <c r="AI55" i="1"/>
  <c r="AO55" i="1"/>
  <c r="AV55" i="1"/>
  <c r="R55" i="1"/>
  <c r="W55" i="1"/>
  <c r="AZ55" i="1"/>
  <c r="Q55" i="1"/>
  <c r="AN55" i="1"/>
  <c r="AX55" i="1"/>
  <c r="AL55" i="1"/>
  <c r="Z55" i="1"/>
  <c r="BF55" i="1"/>
  <c r="AB55" i="1"/>
  <c r="AY55" i="1"/>
  <c r="AM55" i="1"/>
  <c r="O55" i="1"/>
  <c r="AT55" i="1"/>
  <c r="P55" i="1"/>
  <c r="AP55" i="1"/>
  <c r="AW55" i="1"/>
  <c r="AH55" i="1"/>
  <c r="BB55" i="1"/>
  <c r="AK55" i="1"/>
  <c r="V55" i="1"/>
  <c r="M55" i="1"/>
  <c r="BA55" i="1"/>
  <c r="Y55" i="1"/>
  <c r="BG55" i="1"/>
  <c r="X55" i="1"/>
  <c r="AC55" i="1"/>
  <c r="AA55" i="1"/>
  <c r="AJ55" i="1"/>
  <c r="AU55" i="1"/>
  <c r="L55" i="1"/>
  <c r="N85" i="1"/>
  <c r="R85" i="1"/>
  <c r="AM85" i="1"/>
  <c r="BE85" i="1"/>
  <c r="U85" i="1"/>
  <c r="Y85" i="1"/>
  <c r="BD85" i="1"/>
  <c r="S85" i="1"/>
  <c r="AO85" i="1"/>
  <c r="AQ85" i="1"/>
  <c r="AR85" i="1"/>
  <c r="BC85" i="1"/>
  <c r="T85" i="1"/>
  <c r="AP85" i="1"/>
  <c r="O85" i="1"/>
  <c r="AK85" i="1"/>
  <c r="AA85" i="1"/>
  <c r="AS85" i="1"/>
  <c r="Q85" i="1"/>
  <c r="AC85" i="1"/>
  <c r="AW85" i="1"/>
  <c r="AG85" i="1"/>
  <c r="AY85" i="1"/>
  <c r="AE85" i="1"/>
  <c r="BA85" i="1"/>
  <c r="AF85" i="1"/>
  <c r="BB85" i="1"/>
  <c r="AV85" i="1"/>
  <c r="Z85" i="1"/>
  <c r="X85" i="1"/>
  <c r="BG85" i="1"/>
  <c r="L85" i="1"/>
  <c r="BF85" i="1"/>
  <c r="AH85" i="1"/>
  <c r="AU85" i="1"/>
  <c r="AT85" i="1"/>
  <c r="AJ85" i="1"/>
  <c r="AI85" i="1"/>
  <c r="W85" i="1"/>
  <c r="AZ85" i="1"/>
  <c r="AN85" i="1"/>
  <c r="AB85" i="1"/>
  <c r="V85" i="1"/>
  <c r="AX85" i="1"/>
  <c r="AL85" i="1"/>
  <c r="P85" i="1"/>
  <c r="M85" i="1"/>
  <c r="N35" i="1"/>
  <c r="AC35" i="1"/>
  <c r="BA35" i="1"/>
  <c r="AG35" i="1"/>
  <c r="AY35" i="1"/>
  <c r="AD35" i="1"/>
  <c r="BB35" i="1"/>
  <c r="BD35" i="1"/>
  <c r="AS35" i="1"/>
  <c r="BC35" i="1"/>
  <c r="AF35" i="1"/>
  <c r="BE35" i="1"/>
  <c r="O35" i="1"/>
  <c r="AM35" i="1"/>
  <c r="Q35" i="1"/>
  <c r="AO35" i="1"/>
  <c r="R35" i="1"/>
  <c r="AP35" i="1"/>
  <c r="S35" i="1"/>
  <c r="AQ35" i="1"/>
  <c r="U35" i="1"/>
  <c r="T35" i="1"/>
  <c r="AR35" i="1"/>
  <c r="AA35" i="1"/>
  <c r="AI35" i="1"/>
  <c r="L35" i="1"/>
  <c r="Z35" i="1"/>
  <c r="M35" i="1"/>
  <c r="W35" i="1"/>
  <c r="AZ35" i="1"/>
  <c r="AN35" i="1"/>
  <c r="BF35" i="1"/>
  <c r="AB35" i="1"/>
  <c r="AW35" i="1"/>
  <c r="AT35" i="1"/>
  <c r="P35" i="1"/>
  <c r="AK35" i="1"/>
  <c r="Y35" i="1"/>
  <c r="AH35" i="1"/>
  <c r="V35" i="1"/>
  <c r="AJ35" i="1"/>
  <c r="BG35" i="1"/>
  <c r="AV35" i="1"/>
  <c r="AX35" i="1"/>
  <c r="AU35" i="1"/>
  <c r="X35" i="1"/>
  <c r="AL35" i="1"/>
  <c r="AD33" i="2"/>
  <c r="AE249" i="1"/>
  <c r="AC69" i="1"/>
  <c r="E69" i="1" s="1"/>
  <c r="AE244" i="1"/>
  <c r="AD189" i="1"/>
  <c r="AB144" i="1"/>
  <c r="AD164" i="1"/>
  <c r="AE269" i="1"/>
  <c r="AC89" i="1"/>
  <c r="E89" i="1" s="1"/>
  <c r="AR9" i="1" l="1"/>
  <c r="AD28" i="2"/>
  <c r="S30" i="1"/>
  <c r="AE30" i="1"/>
  <c r="AQ30" i="1"/>
  <c r="BC30" i="1"/>
  <c r="AG30" i="1"/>
  <c r="V30" i="1"/>
  <c r="BF30" i="1"/>
  <c r="AI30" i="1"/>
  <c r="AO30" i="1"/>
  <c r="T30" i="1"/>
  <c r="AF30" i="1"/>
  <c r="AR30" i="1"/>
  <c r="BD30" i="1"/>
  <c r="U30" i="1"/>
  <c r="AS30" i="1"/>
  <c r="BE30" i="1"/>
  <c r="AH30" i="1"/>
  <c r="W30" i="1"/>
  <c r="BG30" i="1"/>
  <c r="BA30" i="1"/>
  <c r="R30" i="1"/>
  <c r="AU30" i="1"/>
  <c r="AD30" i="1"/>
  <c r="AT30" i="1"/>
  <c r="Q30" i="1"/>
  <c r="L30" i="1"/>
  <c r="X30" i="1"/>
  <c r="AJ30" i="1"/>
  <c r="AV30" i="1"/>
  <c r="AC30" i="1"/>
  <c r="M30" i="1"/>
  <c r="Y30" i="1"/>
  <c r="AK30" i="1"/>
  <c r="AW30" i="1"/>
  <c r="BB30" i="1"/>
  <c r="N30" i="1"/>
  <c r="Z30" i="1"/>
  <c r="AL30" i="1"/>
  <c r="AX30" i="1"/>
  <c r="AP30" i="1"/>
  <c r="O30" i="1"/>
  <c r="AA30" i="1"/>
  <c r="AM30" i="1"/>
  <c r="AY30" i="1"/>
  <c r="P30" i="1"/>
  <c r="AB30" i="1"/>
  <c r="AN30" i="1"/>
  <c r="AZ30" i="1"/>
  <c r="R20" i="1"/>
  <c r="AP20" i="1"/>
  <c r="BB20" i="1"/>
  <c r="Y20" i="1"/>
  <c r="N20" i="1"/>
  <c r="S20" i="1"/>
  <c r="AE20" i="1"/>
  <c r="AQ20" i="1"/>
  <c r="BC20" i="1"/>
  <c r="O20" i="1"/>
  <c r="T20" i="1"/>
  <c r="AF20" i="1"/>
  <c r="AR20" i="1"/>
  <c r="BD20" i="1"/>
  <c r="U20" i="1"/>
  <c r="AG20" i="1"/>
  <c r="AS20" i="1"/>
  <c r="BE20" i="1"/>
  <c r="AL20" i="1"/>
  <c r="AY20" i="1"/>
  <c r="V20" i="1"/>
  <c r="AH20" i="1"/>
  <c r="AT20" i="1"/>
  <c r="BF20" i="1"/>
  <c r="AK20" i="1"/>
  <c r="W20" i="1"/>
  <c r="AI20" i="1"/>
  <c r="AU20" i="1"/>
  <c r="BG20" i="1"/>
  <c r="AW20" i="1"/>
  <c r="AM20" i="1"/>
  <c r="L20" i="1"/>
  <c r="X20" i="1"/>
  <c r="AJ20" i="1"/>
  <c r="AV20" i="1"/>
  <c r="AX20" i="1"/>
  <c r="AA20" i="1"/>
  <c r="P20" i="1"/>
  <c r="AB20" i="1"/>
  <c r="AN20" i="1"/>
  <c r="AZ20" i="1"/>
  <c r="M20" i="1"/>
  <c r="Q20" i="1"/>
  <c r="AC20" i="1"/>
  <c r="AO20" i="1"/>
  <c r="BA20" i="1"/>
  <c r="Z20" i="1"/>
  <c r="AI20" i="2"/>
  <c r="AD23" i="2"/>
  <c r="AI29" i="2"/>
  <c r="AE55" i="2"/>
  <c r="AD169" i="1"/>
  <c r="AI19" i="2"/>
  <c r="AC94" i="1"/>
  <c r="E94" i="1" s="1"/>
  <c r="AD194" i="1"/>
  <c r="AI28" i="2"/>
  <c r="H15" i="1"/>
  <c r="AC14" i="1"/>
  <c r="AD3" i="1"/>
  <c r="AE67" i="2"/>
  <c r="AE65" i="2"/>
  <c r="AE64" i="2"/>
  <c r="AE63" i="2"/>
  <c r="AE62" i="2"/>
  <c r="AE59" i="2"/>
  <c r="AE58" i="2"/>
  <c r="AE57" i="2"/>
  <c r="AE54" i="2"/>
  <c r="AE53" i="2"/>
  <c r="AE52" i="2"/>
  <c r="AE50" i="2"/>
  <c r="AE49" i="2"/>
  <c r="AE48" i="2"/>
  <c r="AE47" i="2"/>
  <c r="AE44" i="2"/>
  <c r="AE43" i="2"/>
  <c r="AE42" i="2"/>
  <c r="AE40" i="2"/>
  <c r="AE39" i="2"/>
  <c r="AE38" i="2"/>
  <c r="AE37" i="2"/>
  <c r="AE35" i="2"/>
  <c r="AE34" i="2"/>
  <c r="AE33" i="2"/>
  <c r="AE32" i="2"/>
  <c r="AE30" i="2"/>
  <c r="AE29" i="2"/>
  <c r="AE28" i="2"/>
  <c r="AE27" i="2"/>
  <c r="AE25" i="2"/>
  <c r="AE24" i="2"/>
  <c r="AE23" i="2"/>
  <c r="AE22" i="2"/>
  <c r="AE20" i="2"/>
  <c r="AE19" i="2"/>
  <c r="AE18" i="2"/>
  <c r="AE17" i="2"/>
  <c r="AE14" i="2"/>
  <c r="AE13" i="2"/>
  <c r="AE12" i="2"/>
  <c r="AE11" i="2"/>
  <c r="AE9" i="2"/>
  <c r="AE10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AS30" i="2" s="1"/>
  <c r="F63" i="2"/>
  <c r="F64" i="2"/>
  <c r="F65" i="2"/>
  <c r="F66" i="2"/>
  <c r="F67" i="2"/>
  <c r="AS26" i="2" l="1"/>
  <c r="AS53" i="2"/>
  <c r="AS50" i="2"/>
  <c r="AS44" i="2"/>
  <c r="AS18" i="2"/>
  <c r="AS42" i="2"/>
  <c r="AS34" i="2"/>
  <c r="AS64" i="2"/>
  <c r="AS52" i="2"/>
  <c r="AS60" i="2"/>
  <c r="AS59" i="2"/>
  <c r="AS57" i="2"/>
  <c r="AS49" i="2"/>
  <c r="AS16" i="2"/>
  <c r="AS40" i="2"/>
  <c r="AS66" i="2"/>
  <c r="AS9" i="2"/>
  <c r="AS43" i="2"/>
  <c r="AS51" i="2"/>
  <c r="AS14" i="2"/>
  <c r="AS21" i="2"/>
  <c r="AS37" i="2"/>
  <c r="AS41" i="2"/>
  <c r="AS33" i="2"/>
  <c r="AS10" i="2"/>
  <c r="AS13" i="2"/>
  <c r="AS58" i="2"/>
  <c r="AS32" i="2"/>
  <c r="AS39" i="2"/>
  <c r="AS28" i="2"/>
  <c r="AS19" i="2"/>
  <c r="AS46" i="2"/>
  <c r="AS47" i="2"/>
  <c r="AS38" i="2"/>
  <c r="AS27" i="2"/>
  <c r="AS11" i="2"/>
  <c r="AS67" i="2"/>
  <c r="AS65" i="2"/>
  <c r="AS25" i="2"/>
  <c r="AS22" i="2"/>
  <c r="AS31" i="2"/>
  <c r="AS61" i="2"/>
  <c r="AS45" i="2"/>
  <c r="AS35" i="2"/>
  <c r="AS55" i="2"/>
  <c r="AS24" i="2"/>
  <c r="AS48" i="2"/>
  <c r="AS29" i="2"/>
  <c r="AS54" i="2"/>
  <c r="AS23" i="2"/>
  <c r="AS63" i="2"/>
  <c r="AS12" i="2"/>
  <c r="AS36" i="2"/>
  <c r="AS56" i="2"/>
  <c r="AS62" i="2"/>
  <c r="AS20" i="2"/>
  <c r="AS15" i="2"/>
  <c r="AS17" i="2"/>
  <c r="AS9" i="1"/>
  <c r="AF34" i="2"/>
  <c r="AP34" i="2" s="1"/>
  <c r="AQ34" i="2" s="1"/>
  <c r="AF20" i="2"/>
  <c r="AP20" i="2" s="1"/>
  <c r="AQ20" i="2" s="1"/>
  <c r="AF35" i="2"/>
  <c r="AP35" i="2" s="1"/>
  <c r="AQ35" i="2" s="1"/>
  <c r="AF52" i="2"/>
  <c r="AP52" i="2" s="1"/>
  <c r="AQ52" i="2" s="1"/>
  <c r="AF22" i="2"/>
  <c r="AP22" i="2" s="1"/>
  <c r="AQ22" i="2" s="1"/>
  <c r="AF57" i="2"/>
  <c r="AP57" i="2" s="1"/>
  <c r="AQ57" i="2" s="1"/>
  <c r="AF53" i="2"/>
  <c r="AP53" i="2" s="1"/>
  <c r="AQ53" i="2" s="1"/>
  <c r="AF9" i="2"/>
  <c r="AP9" i="2" s="1"/>
  <c r="AQ9" i="2" s="1"/>
  <c r="AF25" i="2"/>
  <c r="AP25" i="2" s="1"/>
  <c r="AQ25" i="2" s="1"/>
  <c r="AF40" i="2"/>
  <c r="AP40" i="2" s="1"/>
  <c r="AQ40" i="2" s="1"/>
  <c r="AF58" i="2"/>
  <c r="AP58" i="2" s="1"/>
  <c r="AQ58" i="2" s="1"/>
  <c r="AF54" i="2"/>
  <c r="AP54" i="2" s="1"/>
  <c r="AQ54" i="2" s="1"/>
  <c r="AF59" i="2"/>
  <c r="AP59" i="2" s="1"/>
  <c r="AQ59" i="2" s="1"/>
  <c r="AF55" i="2"/>
  <c r="AP55" i="2" s="1"/>
  <c r="AQ55" i="2" s="1"/>
  <c r="AF12" i="2"/>
  <c r="AP12" i="2" s="1"/>
  <c r="AQ12" i="2" s="1"/>
  <c r="AF38" i="2"/>
  <c r="AP38" i="2" s="1"/>
  <c r="AQ38" i="2" s="1"/>
  <c r="AF10" i="2"/>
  <c r="AP10" i="2" s="1"/>
  <c r="AQ10" i="2" s="1"/>
  <c r="AF27" i="2"/>
  <c r="AP27" i="2" s="1"/>
  <c r="AQ27" i="2" s="1"/>
  <c r="AF28" i="2"/>
  <c r="AP28" i="2" s="1"/>
  <c r="AQ28" i="2" s="1"/>
  <c r="AF43" i="2"/>
  <c r="AP43" i="2" s="1"/>
  <c r="AQ43" i="2" s="1"/>
  <c r="AF62" i="2"/>
  <c r="AP62" i="2" s="1"/>
  <c r="AQ62" i="2" s="1"/>
  <c r="AF13" i="2"/>
  <c r="AP13" i="2" s="1"/>
  <c r="AQ13" i="2" s="1"/>
  <c r="AF29" i="2"/>
  <c r="AP29" i="2" s="1"/>
  <c r="AQ29" i="2" s="1"/>
  <c r="AF44" i="2"/>
  <c r="AP44" i="2" s="1"/>
  <c r="AQ44" i="2" s="1"/>
  <c r="AF63" i="2"/>
  <c r="AP63" i="2" s="1"/>
  <c r="AQ63" i="2" s="1"/>
  <c r="AF50" i="2"/>
  <c r="AP50" i="2" s="1"/>
  <c r="AQ50" i="2" s="1"/>
  <c r="AF37" i="2"/>
  <c r="AP37" i="2" s="1"/>
  <c r="AQ37" i="2" s="1"/>
  <c r="AF23" i="2"/>
  <c r="AP23" i="2" s="1"/>
  <c r="AQ23" i="2" s="1"/>
  <c r="AF11" i="2"/>
  <c r="AP11" i="2" s="1"/>
  <c r="AQ11" i="2" s="1"/>
  <c r="AF42" i="2"/>
  <c r="AP42" i="2" s="1"/>
  <c r="AQ42" i="2" s="1"/>
  <c r="AF14" i="2"/>
  <c r="AP14" i="2" s="1"/>
  <c r="AQ14" i="2" s="1"/>
  <c r="AF30" i="2"/>
  <c r="AP30" i="2" s="1"/>
  <c r="AQ30" i="2" s="1"/>
  <c r="AF47" i="2"/>
  <c r="AP47" i="2" s="1"/>
  <c r="AQ47" i="2" s="1"/>
  <c r="AF64" i="2"/>
  <c r="AP64" i="2" s="1"/>
  <c r="AQ64" i="2" s="1"/>
  <c r="AF19" i="2"/>
  <c r="AP19" i="2" s="1"/>
  <c r="AQ19" i="2" s="1"/>
  <c r="AF39" i="2"/>
  <c r="AP39" i="2" s="1"/>
  <c r="AQ39" i="2" s="1"/>
  <c r="AF17" i="2"/>
  <c r="AP17" i="2" s="1"/>
  <c r="AQ17" i="2" s="1"/>
  <c r="AF32" i="2"/>
  <c r="AP32" i="2" s="1"/>
  <c r="AQ32" i="2" s="1"/>
  <c r="AF48" i="2"/>
  <c r="AP48" i="2" s="1"/>
  <c r="AQ48" i="2" s="1"/>
  <c r="AF65" i="2"/>
  <c r="AP65" i="2" s="1"/>
  <c r="AQ65" i="2" s="1"/>
  <c r="AF24" i="2"/>
  <c r="AP24" i="2" s="1"/>
  <c r="AQ24" i="2" s="1"/>
  <c r="AF18" i="2"/>
  <c r="AP18" i="2" s="1"/>
  <c r="AQ18" i="2" s="1"/>
  <c r="AF33" i="2"/>
  <c r="AP33" i="2" s="1"/>
  <c r="AQ33" i="2" s="1"/>
  <c r="AF49" i="2"/>
  <c r="AP49" i="2" s="1"/>
  <c r="AQ49" i="2" s="1"/>
  <c r="AF67" i="2"/>
  <c r="AP67" i="2" s="1"/>
  <c r="AQ67" i="2" s="1"/>
  <c r="AI25" i="2"/>
  <c r="AE45" i="2"/>
  <c r="AI24" i="2"/>
  <c r="AG34" i="2"/>
  <c r="AG23" i="2"/>
  <c r="AG24" i="2"/>
  <c r="AG28" i="2"/>
  <c r="AA28" i="2" s="1"/>
  <c r="AG40" i="2"/>
  <c r="AG52" i="2"/>
  <c r="AG64" i="2"/>
  <c r="AG22" i="2"/>
  <c r="AG58" i="2"/>
  <c r="AG35" i="2"/>
  <c r="AG47" i="2"/>
  <c r="AG59" i="2"/>
  <c r="AG25" i="2"/>
  <c r="AG37" i="2"/>
  <c r="AG49" i="2"/>
  <c r="AG17" i="2"/>
  <c r="AA17" i="2" s="1"/>
  <c r="AG29" i="2"/>
  <c r="AA29" i="2" s="1"/>
  <c r="AG53" i="2"/>
  <c r="AG65" i="2"/>
  <c r="AG33" i="2"/>
  <c r="AG18" i="2"/>
  <c r="AG30" i="2"/>
  <c r="AG42" i="2"/>
  <c r="AG54" i="2"/>
  <c r="AG19" i="2"/>
  <c r="AG43" i="2"/>
  <c r="AG67" i="2"/>
  <c r="AG20" i="2"/>
  <c r="AG32" i="2"/>
  <c r="AG44" i="2"/>
  <c r="AG48" i="2"/>
  <c r="AG50" i="2"/>
  <c r="AG38" i="2"/>
  <c r="AG62" i="2"/>
  <c r="AG39" i="2"/>
  <c r="AG63" i="2"/>
  <c r="AG11" i="2"/>
  <c r="AG57" i="2"/>
  <c r="AG55" i="2"/>
  <c r="AG14" i="2"/>
  <c r="AG13" i="2"/>
  <c r="AG12" i="2"/>
  <c r="AG27" i="2"/>
  <c r="AG10" i="2"/>
  <c r="AG9" i="2"/>
  <c r="AA9" i="2" s="1"/>
  <c r="N1" i="2"/>
  <c r="AT9" i="1" l="1"/>
  <c r="AF45" i="2"/>
  <c r="AP45" i="2" s="1"/>
  <c r="AQ45" i="2" s="1"/>
  <c r="AG45" i="2"/>
  <c r="AB45" i="2" s="1"/>
  <c r="AE46" i="2"/>
  <c r="AE41" i="2"/>
  <c r="AE36" i="2"/>
  <c r="AE61" i="2"/>
  <c r="AE66" i="2"/>
  <c r="AE21" i="2"/>
  <c r="AB67" i="2"/>
  <c r="AA67" i="2"/>
  <c r="AB64" i="2"/>
  <c r="AA64" i="2"/>
  <c r="AB52" i="2"/>
  <c r="AA52" i="2"/>
  <c r="AB14" i="2"/>
  <c r="AA14" i="2"/>
  <c r="AB44" i="2"/>
  <c r="AA44" i="2"/>
  <c r="AB19" i="2"/>
  <c r="AA19" i="2"/>
  <c r="AB33" i="2"/>
  <c r="AA33" i="2"/>
  <c r="AB35" i="2"/>
  <c r="AA35" i="2"/>
  <c r="AB9" i="2"/>
  <c r="AB55" i="2"/>
  <c r="AA55" i="2"/>
  <c r="AB32" i="2"/>
  <c r="AA32" i="2"/>
  <c r="AB65" i="2"/>
  <c r="AA65" i="2"/>
  <c r="AB49" i="2"/>
  <c r="AA49" i="2"/>
  <c r="AB58" i="2"/>
  <c r="AA58" i="2"/>
  <c r="AB27" i="2"/>
  <c r="AA27" i="2"/>
  <c r="AB62" i="2"/>
  <c r="AA62" i="2"/>
  <c r="AB42" i="2"/>
  <c r="AA42" i="2"/>
  <c r="AB24" i="2"/>
  <c r="AA24" i="2"/>
  <c r="AB12" i="2"/>
  <c r="AA12" i="2"/>
  <c r="AB48" i="2"/>
  <c r="AA48" i="2"/>
  <c r="AB43" i="2"/>
  <c r="AA43" i="2"/>
  <c r="AB23" i="2"/>
  <c r="AA23" i="2"/>
  <c r="AB63" i="2"/>
  <c r="AA63" i="2"/>
  <c r="AB50" i="2"/>
  <c r="AA50" i="2"/>
  <c r="AB25" i="2"/>
  <c r="AA25" i="2"/>
  <c r="AB59" i="2"/>
  <c r="AA59" i="2"/>
  <c r="AB10" i="2"/>
  <c r="AA10" i="2"/>
  <c r="AB57" i="2"/>
  <c r="AA57" i="2"/>
  <c r="AB39" i="2"/>
  <c r="AA39" i="2"/>
  <c r="AB20" i="2"/>
  <c r="AA20" i="2"/>
  <c r="AB54" i="2"/>
  <c r="AA54" i="2"/>
  <c r="AB53" i="2"/>
  <c r="AA53" i="2"/>
  <c r="AB37" i="2"/>
  <c r="AA37" i="2"/>
  <c r="AB22" i="2"/>
  <c r="AA22" i="2"/>
  <c r="AB38" i="2"/>
  <c r="AA38" i="2"/>
  <c r="AB30" i="2"/>
  <c r="AA30" i="2"/>
  <c r="AB13" i="2"/>
  <c r="AA13" i="2"/>
  <c r="AB11" i="2"/>
  <c r="AA11" i="2"/>
  <c r="AB18" i="2"/>
  <c r="AA18" i="2"/>
  <c r="AB47" i="2"/>
  <c r="AA47" i="2"/>
  <c r="AB40" i="2"/>
  <c r="AA40" i="2"/>
  <c r="AB34" i="2"/>
  <c r="AA34" i="2"/>
  <c r="I10" i="1"/>
  <c r="H10" i="1"/>
  <c r="AU9" i="1" l="1"/>
  <c r="K10" i="1"/>
  <c r="L10" i="1"/>
  <c r="J10" i="1"/>
  <c r="M10" i="1"/>
  <c r="AF36" i="2"/>
  <c r="AP36" i="2" s="1"/>
  <c r="AQ36" i="2" s="1"/>
  <c r="AF41" i="2"/>
  <c r="AP41" i="2" s="1"/>
  <c r="AQ41" i="2" s="1"/>
  <c r="AF21" i="2"/>
  <c r="AP21" i="2" s="1"/>
  <c r="AQ21" i="2" s="1"/>
  <c r="AF66" i="2"/>
  <c r="AP66" i="2" s="1"/>
  <c r="AQ66" i="2" s="1"/>
  <c r="AD67" i="2"/>
  <c r="AF46" i="2"/>
  <c r="AP46" i="2" s="1"/>
  <c r="AQ46" i="2" s="1"/>
  <c r="AF61" i="2"/>
  <c r="AP61" i="2" s="1"/>
  <c r="AQ61" i="2" s="1"/>
  <c r="N10" i="1"/>
  <c r="AA45" i="2"/>
  <c r="AE51" i="2"/>
  <c r="AE26" i="2"/>
  <c r="AG61" i="2"/>
  <c r="AE31" i="2"/>
  <c r="AG36" i="2"/>
  <c r="AE56" i="2"/>
  <c r="AG66" i="2"/>
  <c r="AG41" i="2"/>
  <c r="AG21" i="2"/>
  <c r="AG46" i="2"/>
  <c r="AV9" i="1" l="1"/>
  <c r="AF31" i="2"/>
  <c r="AP31" i="2" s="1"/>
  <c r="AQ31" i="2" s="1"/>
  <c r="AF26" i="2"/>
  <c r="AP26" i="2" s="1"/>
  <c r="AQ26" i="2" s="1"/>
  <c r="AF51" i="2"/>
  <c r="AP51" i="2" s="1"/>
  <c r="AQ51" i="2" s="1"/>
  <c r="AF56" i="2"/>
  <c r="AP56" i="2" s="1"/>
  <c r="AQ56" i="2" s="1"/>
  <c r="O10" i="1"/>
  <c r="AA46" i="2"/>
  <c r="AB46" i="2"/>
  <c r="AC39" i="1"/>
  <c r="AG51" i="2"/>
  <c r="AA61" i="2"/>
  <c r="AB61" i="2"/>
  <c r="AG26" i="2"/>
  <c r="AB66" i="2"/>
  <c r="AA66" i="2"/>
  <c r="AG31" i="2"/>
  <c r="AG56" i="2"/>
  <c r="AB21" i="2"/>
  <c r="AA21" i="2"/>
  <c r="AB41" i="2"/>
  <c r="AA41" i="2"/>
  <c r="AB36" i="2"/>
  <c r="AA36" i="2"/>
  <c r="AW9" i="1" l="1"/>
  <c r="P10" i="1"/>
  <c r="AC49" i="1"/>
  <c r="AB51" i="2"/>
  <c r="AA51" i="2"/>
  <c r="AB26" i="2"/>
  <c r="AA26" i="2"/>
  <c r="AB56" i="2"/>
  <c r="AA56" i="2"/>
  <c r="AC44" i="1"/>
  <c r="AA31" i="2"/>
  <c r="AB31" i="2"/>
  <c r="AX9" i="1" l="1"/>
  <c r="Q10" i="1"/>
  <c r="AE15" i="2"/>
  <c r="AY9" i="1" l="1"/>
  <c r="AF15" i="2"/>
  <c r="AP15" i="2" s="1"/>
  <c r="AQ15" i="2" s="1"/>
  <c r="N45" i="1"/>
  <c r="T45" i="1"/>
  <c r="BA45" i="1"/>
  <c r="BD45" i="1"/>
  <c r="AE45" i="1"/>
  <c r="R45" i="1"/>
  <c r="U45" i="1"/>
  <c r="BB45" i="1"/>
  <c r="BE45" i="1"/>
  <c r="AC45" i="1"/>
  <c r="BC45" i="1"/>
  <c r="S45" i="1"/>
  <c r="AF45" i="1"/>
  <c r="AG45" i="1"/>
  <c r="AO45" i="1"/>
  <c r="AP45" i="1"/>
  <c r="AS45" i="1"/>
  <c r="Q45" i="1"/>
  <c r="AQ45" i="1"/>
  <c r="AR45" i="1"/>
  <c r="M45" i="1"/>
  <c r="AM45" i="1"/>
  <c r="AJ45" i="1"/>
  <c r="AA45" i="1"/>
  <c r="AX45" i="1"/>
  <c r="BF45" i="1"/>
  <c r="AT45" i="1"/>
  <c r="BG45" i="1"/>
  <c r="X45" i="1"/>
  <c r="O45" i="1"/>
  <c r="AL45" i="1"/>
  <c r="AU45" i="1"/>
  <c r="L45" i="1"/>
  <c r="Z45" i="1"/>
  <c r="AZ45" i="1"/>
  <c r="AI45" i="1"/>
  <c r="W45" i="1"/>
  <c r="AV45" i="1"/>
  <c r="Y45" i="1"/>
  <c r="AN45" i="1"/>
  <c r="AB45" i="1"/>
  <c r="P45" i="1"/>
  <c r="AH45" i="1"/>
  <c r="AW45" i="1"/>
  <c r="V45" i="1"/>
  <c r="AK45" i="1"/>
  <c r="AY45" i="1"/>
  <c r="R10" i="1"/>
  <c r="AG15" i="2"/>
  <c r="AZ9" i="1" l="1"/>
  <c r="S10" i="1"/>
  <c r="AE16" i="2"/>
  <c r="AA15" i="2"/>
  <c r="AB15" i="2"/>
  <c r="BA9" i="1" l="1"/>
  <c r="AF16" i="2"/>
  <c r="AP16" i="2" s="1"/>
  <c r="AQ16" i="2" s="1"/>
  <c r="N50" i="1"/>
  <c r="AP50" i="1"/>
  <c r="S50" i="1"/>
  <c r="Q50" i="1"/>
  <c r="AQ50" i="1"/>
  <c r="AS50" i="1"/>
  <c r="BA50" i="1"/>
  <c r="AO50" i="1"/>
  <c r="R50" i="1"/>
  <c r="AR50" i="1"/>
  <c r="T50" i="1"/>
  <c r="AG50" i="1"/>
  <c r="U50" i="1"/>
  <c r="BB50" i="1"/>
  <c r="AC50" i="1"/>
  <c r="BC50" i="1"/>
  <c r="BD50" i="1"/>
  <c r="AE50" i="1"/>
  <c r="BE50" i="1"/>
  <c r="AF50" i="1"/>
  <c r="AT50" i="1"/>
  <c r="P50" i="1"/>
  <c r="L50" i="1"/>
  <c r="AW50" i="1"/>
  <c r="AH50" i="1"/>
  <c r="W50" i="1"/>
  <c r="AK50" i="1"/>
  <c r="V50" i="1"/>
  <c r="AM50" i="1"/>
  <c r="O50" i="1"/>
  <c r="AI50" i="1"/>
  <c r="AA50" i="1"/>
  <c r="Y50" i="1"/>
  <c r="AY50" i="1"/>
  <c r="AX50" i="1"/>
  <c r="AL50" i="1"/>
  <c r="M50" i="1"/>
  <c r="AV50" i="1"/>
  <c r="AJ50" i="1"/>
  <c r="AZ50" i="1"/>
  <c r="BG50" i="1"/>
  <c r="X50" i="1"/>
  <c r="Z50" i="1"/>
  <c r="AU50" i="1"/>
  <c r="AN50" i="1"/>
  <c r="BF50" i="1"/>
  <c r="AB50" i="1"/>
  <c r="T10" i="1"/>
  <c r="AG16" i="2"/>
  <c r="BB9" i="1" l="1"/>
  <c r="U10" i="1"/>
  <c r="AA16" i="2"/>
  <c r="AB16" i="2"/>
  <c r="BC9" i="1" l="1"/>
  <c r="V10" i="1"/>
  <c r="AE60" i="2"/>
  <c r="BD9" i="1" l="1"/>
  <c r="AF60" i="2"/>
  <c r="AP60" i="2" s="1"/>
  <c r="AQ60" i="2" s="1"/>
  <c r="W10" i="1"/>
  <c r="AG60" i="2"/>
  <c r="BE9" i="1" l="1"/>
  <c r="X10" i="1"/>
  <c r="AA60" i="2"/>
  <c r="AB60" i="2"/>
  <c r="BE134" i="1" l="1"/>
  <c r="BE44" i="1"/>
  <c r="BE39" i="1"/>
  <c r="BE214" i="1"/>
  <c r="BE149" i="1"/>
  <c r="BE264" i="1"/>
  <c r="BE99" i="1"/>
  <c r="BE119" i="1"/>
  <c r="BE209" i="1"/>
  <c r="BE269" i="1"/>
  <c r="BE84" i="1"/>
  <c r="BE239" i="1"/>
  <c r="BE24" i="1"/>
  <c r="BE244" i="1"/>
  <c r="BE294" i="1"/>
  <c r="BE19" i="1"/>
  <c r="BE274" i="1"/>
  <c r="BE174" i="1"/>
  <c r="BE164" i="1"/>
  <c r="BF9" i="1"/>
  <c r="BE159" i="1"/>
  <c r="BE59" i="1"/>
  <c r="BE249" i="1"/>
  <c r="BE259" i="1"/>
  <c r="BE219" i="1"/>
  <c r="BE279" i="1"/>
  <c r="BE189" i="1"/>
  <c r="BE14" i="1"/>
  <c r="BE2" i="1"/>
  <c r="BE34" i="1"/>
  <c r="BE104" i="1"/>
  <c r="BE29" i="1"/>
  <c r="BE204" i="1"/>
  <c r="BE224" i="1"/>
  <c r="BE144" i="1"/>
  <c r="BE254" i="1"/>
  <c r="BE79" i="1"/>
  <c r="BE179" i="1"/>
  <c r="BE169" i="1"/>
  <c r="BE299" i="1"/>
  <c r="BE124" i="1"/>
  <c r="BE304" i="1"/>
  <c r="BE199" i="1"/>
  <c r="BE129" i="1"/>
  <c r="BE194" i="1"/>
  <c r="BE49" i="1"/>
  <c r="BE154" i="1"/>
  <c r="BE289" i="1"/>
  <c r="BE284" i="1"/>
  <c r="BE184" i="1"/>
  <c r="BE229" i="1"/>
  <c r="BE234" i="1"/>
  <c r="BE139" i="1"/>
  <c r="BE74" i="1"/>
  <c r="Y10" i="1"/>
  <c r="BF169" i="1" l="1"/>
  <c r="BF224" i="1"/>
  <c r="BF229" i="1"/>
  <c r="BF39" i="1"/>
  <c r="BF59" i="1"/>
  <c r="BF174" i="1"/>
  <c r="BF249" i="1"/>
  <c r="BF184" i="1"/>
  <c r="BF79" i="1"/>
  <c r="BF74" i="1"/>
  <c r="BF124" i="1"/>
  <c r="BF104" i="1"/>
  <c r="BF159" i="1"/>
  <c r="BF234" i="1"/>
  <c r="BF294" i="1"/>
  <c r="BF189" i="1"/>
  <c r="BF49" i="1"/>
  <c r="BF84" i="1"/>
  <c r="BF179" i="1"/>
  <c r="BF254" i="1"/>
  <c r="BF164" i="1"/>
  <c r="BF144" i="1"/>
  <c r="BF2" i="1"/>
  <c r="BF194" i="1"/>
  <c r="BF129" i="1"/>
  <c r="BF134" i="1"/>
  <c r="BF239" i="1"/>
  <c r="BG9" i="1"/>
  <c r="BF99" i="1"/>
  <c r="BF34" i="1"/>
  <c r="BF269" i="1"/>
  <c r="BF29" i="1"/>
  <c r="BF284" i="1"/>
  <c r="BF209" i="1"/>
  <c r="BF139" i="1"/>
  <c r="BF154" i="1"/>
  <c r="BF199" i="1"/>
  <c r="BF219" i="1"/>
  <c r="BF214" i="1"/>
  <c r="BF289" i="1"/>
  <c r="BF299" i="1"/>
  <c r="BF14" i="1"/>
  <c r="BF119" i="1"/>
  <c r="BF304" i="1"/>
  <c r="BF149" i="1"/>
  <c r="BF264" i="1"/>
  <c r="BF19" i="1"/>
  <c r="BF44" i="1"/>
  <c r="BF204" i="1"/>
  <c r="BF279" i="1"/>
  <c r="BF274" i="1"/>
  <c r="BF244" i="1"/>
  <c r="BF24" i="1"/>
  <c r="BF259" i="1"/>
  <c r="Z10" i="1"/>
  <c r="BG144" i="1" l="1"/>
  <c r="BG214" i="1"/>
  <c r="BG29" i="1"/>
  <c r="BG274" i="1"/>
  <c r="BG209" i="1"/>
  <c r="BG74" i="1"/>
  <c r="BG189" i="1"/>
  <c r="BG204" i="1"/>
  <c r="BG154" i="1"/>
  <c r="BG304" i="1"/>
  <c r="BG234" i="1"/>
  <c r="BG59" i="1"/>
  <c r="BG129" i="1"/>
  <c r="BG254" i="1"/>
  <c r="BG169" i="1"/>
  <c r="BG164" i="1"/>
  <c r="BG264" i="1"/>
  <c r="BG179" i="1"/>
  <c r="BG39" i="1"/>
  <c r="BG119" i="1"/>
  <c r="BG289" i="1"/>
  <c r="BG284" i="1"/>
  <c r="BG184" i="1"/>
  <c r="BG19" i="1"/>
  <c r="BG219" i="1"/>
  <c r="BG124" i="1"/>
  <c r="BG2" i="1"/>
  <c r="BG174" i="1"/>
  <c r="BG139" i="1"/>
  <c r="BG24" i="1"/>
  <c r="BG84" i="1"/>
  <c r="BG49" i="1"/>
  <c r="BG104" i="1"/>
  <c r="BG159" i="1"/>
  <c r="BG44" i="1"/>
  <c r="BG259" i="1"/>
  <c r="BG229" i="1"/>
  <c r="BG199" i="1"/>
  <c r="BG194" i="1"/>
  <c r="BG14" i="1"/>
  <c r="BG244" i="1"/>
  <c r="BG279" i="1"/>
  <c r="BG249" i="1"/>
  <c r="BG299" i="1"/>
  <c r="BG294" i="1"/>
  <c r="BG99" i="1"/>
  <c r="BG224" i="1"/>
  <c r="BG79" i="1"/>
  <c r="BG34" i="1"/>
  <c r="BG239" i="1"/>
  <c r="BG269" i="1"/>
  <c r="BG134" i="1"/>
  <c r="BG149" i="1"/>
  <c r="AA10" i="1"/>
  <c r="AB10" i="1" l="1"/>
  <c r="AC10" i="1" l="1"/>
  <c r="AC144" i="1" l="1"/>
  <c r="AC299" i="1"/>
  <c r="AC139" i="1"/>
  <c r="AD10" i="1"/>
  <c r="AD259" i="1" l="1"/>
  <c r="AD299" i="1"/>
  <c r="AD144" i="1"/>
  <c r="AD254" i="1"/>
  <c r="AD124" i="1"/>
  <c r="AD139" i="1"/>
  <c r="AD99" i="1"/>
  <c r="AD119" i="1"/>
  <c r="AD74" i="1"/>
  <c r="AD84" i="1"/>
  <c r="AD49" i="1"/>
  <c r="AD59" i="1"/>
  <c r="AD39" i="1"/>
  <c r="AD44" i="1"/>
  <c r="AD19" i="1"/>
  <c r="AD24" i="1"/>
  <c r="AD79" i="1"/>
  <c r="E117" i="1"/>
  <c r="AD30" i="2" s="1"/>
  <c r="AE10" i="1"/>
  <c r="AE14" i="1" s="1"/>
  <c r="P110" i="1"/>
  <c r="BD110" i="1"/>
  <c r="L110" i="1"/>
  <c r="AR110" i="1"/>
  <c r="Y110" i="1"/>
  <c r="BE110" i="1"/>
  <c r="AE299" i="1" l="1"/>
  <c r="AD304" i="1"/>
  <c r="AD289" i="1"/>
  <c r="AE294" i="1"/>
  <c r="AE259" i="1"/>
  <c r="AE284" i="1"/>
  <c r="AE239" i="1"/>
  <c r="AE254" i="1"/>
  <c r="AE229" i="1"/>
  <c r="AE234" i="1"/>
  <c r="AE219" i="1"/>
  <c r="AE224" i="1"/>
  <c r="AE209" i="1"/>
  <c r="AE214" i="1"/>
  <c r="AE199" i="1"/>
  <c r="AE204" i="1"/>
  <c r="AE189" i="1"/>
  <c r="AE194" i="1"/>
  <c r="AE179" i="1"/>
  <c r="AE184" i="1"/>
  <c r="AE169" i="1"/>
  <c r="AE174" i="1"/>
  <c r="AE164" i="1"/>
  <c r="AE154" i="1"/>
  <c r="AE159" i="1"/>
  <c r="AE144" i="1"/>
  <c r="AE149" i="1"/>
  <c r="AE134" i="1"/>
  <c r="AE139" i="1"/>
  <c r="AE124" i="1"/>
  <c r="AE129" i="1"/>
  <c r="AE104" i="1"/>
  <c r="AE119" i="1"/>
  <c r="AE99" i="1"/>
  <c r="AE84" i="1"/>
  <c r="AE59" i="1"/>
  <c r="AE74" i="1"/>
  <c r="AE44" i="1"/>
  <c r="AE49" i="1"/>
  <c r="AE34" i="1"/>
  <c r="AE39" i="1"/>
  <c r="AE29" i="1"/>
  <c r="AE24" i="1"/>
  <c r="AE19" i="1"/>
  <c r="AE79" i="1"/>
  <c r="E54" i="1"/>
  <c r="AI17" i="2" s="1"/>
  <c r="AF10" i="1"/>
  <c r="AO110" i="1"/>
  <c r="AZ110" i="1"/>
  <c r="R110" i="1"/>
  <c r="AS110" i="1"/>
  <c r="Q110" i="1"/>
  <c r="BF110" i="1"/>
  <c r="W110" i="1"/>
  <c r="AH110" i="1"/>
  <c r="AD110" i="1"/>
  <c r="AA110" i="1"/>
  <c r="AN110" i="1"/>
  <c r="AT110" i="1"/>
  <c r="M110" i="1"/>
  <c r="AB110" i="1"/>
  <c r="BA110" i="1"/>
  <c r="AG110" i="1"/>
  <c r="AJ110" i="1"/>
  <c r="N110" i="1"/>
  <c r="AP110" i="1"/>
  <c r="AF110" i="1"/>
  <c r="AL110" i="1"/>
  <c r="BC110" i="1"/>
  <c r="U110" i="1"/>
  <c r="AI110" i="1"/>
  <c r="AE110" i="1"/>
  <c r="AU110" i="1"/>
  <c r="AV110" i="1"/>
  <c r="BG110" i="1"/>
  <c r="AY110" i="1"/>
  <c r="BB110" i="1"/>
  <c r="AM110" i="1"/>
  <c r="AW110" i="1"/>
  <c r="V110" i="1"/>
  <c r="AQ110" i="1"/>
  <c r="Z110" i="1"/>
  <c r="AX110" i="1"/>
  <c r="O110" i="1"/>
  <c r="T110" i="1"/>
  <c r="X110" i="1"/>
  <c r="S110" i="1"/>
  <c r="AK110" i="1"/>
  <c r="AC110" i="1"/>
  <c r="AE304" i="1" l="1"/>
  <c r="AF14" i="1"/>
  <c r="AF294" i="1"/>
  <c r="AF299" i="1"/>
  <c r="AF284" i="1"/>
  <c r="AE289" i="1"/>
  <c r="AF274" i="1"/>
  <c r="AF279" i="1"/>
  <c r="AF264" i="1"/>
  <c r="AF269" i="1"/>
  <c r="AF254" i="1"/>
  <c r="AF259" i="1"/>
  <c r="AF244" i="1"/>
  <c r="AF249" i="1"/>
  <c r="AF234" i="1"/>
  <c r="AF239" i="1"/>
  <c r="AF224" i="1"/>
  <c r="AF229" i="1"/>
  <c r="AF214" i="1"/>
  <c r="AF219" i="1"/>
  <c r="AF204" i="1"/>
  <c r="AF209" i="1"/>
  <c r="AF194" i="1"/>
  <c r="AF199" i="1"/>
  <c r="AF184" i="1"/>
  <c r="AF189" i="1"/>
  <c r="AF174" i="1"/>
  <c r="AF179" i="1"/>
  <c r="AF164" i="1"/>
  <c r="AF169" i="1"/>
  <c r="AF159" i="1"/>
  <c r="AF149" i="1"/>
  <c r="AF154" i="1"/>
  <c r="AF139" i="1"/>
  <c r="AF144" i="1"/>
  <c r="AF124" i="1"/>
  <c r="AF134" i="1"/>
  <c r="AF104" i="1"/>
  <c r="AF119" i="1"/>
  <c r="AF99" i="1"/>
  <c r="AF84" i="1"/>
  <c r="AF59" i="1"/>
  <c r="AF74" i="1"/>
  <c r="AF44" i="1"/>
  <c r="AF49" i="1"/>
  <c r="AF29" i="1"/>
  <c r="AF39" i="1"/>
  <c r="AF24" i="1"/>
  <c r="AF19" i="1"/>
  <c r="AF129" i="1"/>
  <c r="AF79" i="1"/>
  <c r="AF34" i="1"/>
  <c r="AG10" i="1"/>
  <c r="AF304" i="1" l="1"/>
  <c r="AG14" i="1"/>
  <c r="AG294" i="1"/>
  <c r="AG299" i="1"/>
  <c r="AG284" i="1"/>
  <c r="AF289" i="1"/>
  <c r="AG274" i="1"/>
  <c r="AG279" i="1"/>
  <c r="AG264" i="1"/>
  <c r="AG269" i="1"/>
  <c r="AG254" i="1"/>
  <c r="AG259" i="1"/>
  <c r="AG244" i="1"/>
  <c r="AG249" i="1"/>
  <c r="AG234" i="1"/>
  <c r="AG239" i="1"/>
  <c r="AG224" i="1"/>
  <c r="AG229" i="1"/>
  <c r="AG214" i="1"/>
  <c r="AG219" i="1"/>
  <c r="AG204" i="1"/>
  <c r="AG209" i="1"/>
  <c r="AG194" i="1"/>
  <c r="AG199" i="1"/>
  <c r="AG184" i="1"/>
  <c r="AG189" i="1"/>
  <c r="AG174" i="1"/>
  <c r="AG179" i="1"/>
  <c r="AG164" i="1"/>
  <c r="AG169" i="1"/>
  <c r="AG159" i="1"/>
  <c r="AG149" i="1"/>
  <c r="AG154" i="1"/>
  <c r="AG139" i="1"/>
  <c r="AG144" i="1"/>
  <c r="AG124" i="1"/>
  <c r="AG134" i="1"/>
  <c r="AG104" i="1"/>
  <c r="AG119" i="1"/>
  <c r="AG99" i="1"/>
  <c r="AG84" i="1"/>
  <c r="AG59" i="1"/>
  <c r="AG74" i="1"/>
  <c r="AG44" i="1"/>
  <c r="AG49" i="1"/>
  <c r="AG29" i="1"/>
  <c r="AG39" i="1"/>
  <c r="AG24" i="1"/>
  <c r="AG19" i="1"/>
  <c r="AG129" i="1"/>
  <c r="AG79" i="1"/>
  <c r="AG34" i="1"/>
  <c r="AH10" i="1"/>
  <c r="AG304" i="1" s="1"/>
  <c r="AH294" i="1" l="1"/>
  <c r="AH299" i="1"/>
  <c r="AH284" i="1"/>
  <c r="AG289" i="1"/>
  <c r="AH274" i="1"/>
  <c r="AH279" i="1"/>
  <c r="AH264" i="1"/>
  <c r="AH269" i="1"/>
  <c r="AH254" i="1"/>
  <c r="AH259" i="1"/>
  <c r="AH244" i="1"/>
  <c r="AH249" i="1"/>
  <c r="AH234" i="1"/>
  <c r="AH239" i="1"/>
  <c r="AH224" i="1"/>
  <c r="AH229" i="1"/>
  <c r="AH214" i="1"/>
  <c r="AH219" i="1"/>
  <c r="AH204" i="1"/>
  <c r="AH209" i="1"/>
  <c r="AH194" i="1"/>
  <c r="AH199" i="1"/>
  <c r="AH184" i="1"/>
  <c r="AH189" i="1"/>
  <c r="AH174" i="1"/>
  <c r="AH179" i="1"/>
  <c r="AH164" i="1"/>
  <c r="AH169" i="1"/>
  <c r="AH159" i="1"/>
  <c r="AH149" i="1"/>
  <c r="AH154" i="1"/>
  <c r="AH139" i="1"/>
  <c r="AH144" i="1"/>
  <c r="AH124" i="1"/>
  <c r="AH134" i="1"/>
  <c r="AH104" i="1"/>
  <c r="AH119" i="1"/>
  <c r="AH99" i="1"/>
  <c r="AH84" i="1"/>
  <c r="AH59" i="1"/>
  <c r="AH74" i="1"/>
  <c r="AH44" i="1"/>
  <c r="AH49" i="1"/>
  <c r="AH29" i="1"/>
  <c r="AH39" i="1"/>
  <c r="AH24" i="1"/>
  <c r="AH14" i="1"/>
  <c r="AH19" i="1"/>
  <c r="AH129" i="1"/>
  <c r="AH79" i="1"/>
  <c r="AH34" i="1"/>
  <c r="AI10" i="1"/>
  <c r="AH304" i="1" s="1"/>
  <c r="AI294" i="1" l="1"/>
  <c r="AI299" i="1"/>
  <c r="AI284" i="1"/>
  <c r="AH289" i="1"/>
  <c r="AI274" i="1"/>
  <c r="AI279" i="1"/>
  <c r="AI264" i="1"/>
  <c r="AI269" i="1"/>
  <c r="AI254" i="1"/>
  <c r="AI259" i="1"/>
  <c r="AI244" i="1"/>
  <c r="AI249" i="1"/>
  <c r="AI234" i="1"/>
  <c r="AI239" i="1"/>
  <c r="AI224" i="1"/>
  <c r="AI229" i="1"/>
  <c r="AI214" i="1"/>
  <c r="AI219" i="1"/>
  <c r="AI204" i="1"/>
  <c r="AI209" i="1"/>
  <c r="AI194" i="1"/>
  <c r="AI199" i="1"/>
  <c r="AI184" i="1"/>
  <c r="AI189" i="1"/>
  <c r="AI174" i="1"/>
  <c r="AI179" i="1"/>
  <c r="AI164" i="1"/>
  <c r="AI169" i="1"/>
  <c r="AI159" i="1"/>
  <c r="AI149" i="1"/>
  <c r="AI154" i="1"/>
  <c r="AI139" i="1"/>
  <c r="AI144" i="1"/>
  <c r="AI124" i="1"/>
  <c r="AI134" i="1"/>
  <c r="AI104" i="1"/>
  <c r="AI119" i="1"/>
  <c r="AI99" i="1"/>
  <c r="AI84" i="1"/>
  <c r="AI59" i="1"/>
  <c r="AI74" i="1"/>
  <c r="AI44" i="1"/>
  <c r="AI49" i="1"/>
  <c r="AI29" i="1"/>
  <c r="AI39" i="1"/>
  <c r="AI24" i="1"/>
  <c r="AI14" i="1"/>
  <c r="AI19" i="1"/>
  <c r="AI129" i="1"/>
  <c r="AI79" i="1"/>
  <c r="AI34" i="1"/>
  <c r="AJ10" i="1"/>
  <c r="AI304" i="1" s="1"/>
  <c r="AJ294" i="1" l="1"/>
  <c r="AJ299" i="1"/>
  <c r="AJ284" i="1"/>
  <c r="AI289" i="1"/>
  <c r="AJ274" i="1"/>
  <c r="AJ279" i="1"/>
  <c r="AJ264" i="1"/>
  <c r="AJ269" i="1"/>
  <c r="AJ254" i="1"/>
  <c r="AJ259" i="1"/>
  <c r="AJ244" i="1"/>
  <c r="AJ249" i="1"/>
  <c r="AJ234" i="1"/>
  <c r="AJ239" i="1"/>
  <c r="AJ224" i="1"/>
  <c r="AJ229" i="1"/>
  <c r="AJ214" i="1"/>
  <c r="AJ219" i="1"/>
  <c r="AJ204" i="1"/>
  <c r="AJ209" i="1"/>
  <c r="AJ194" i="1"/>
  <c r="AJ199" i="1"/>
  <c r="AJ184" i="1"/>
  <c r="AJ189" i="1"/>
  <c r="AJ174" i="1"/>
  <c r="AJ179" i="1"/>
  <c r="AJ164" i="1"/>
  <c r="AJ169" i="1"/>
  <c r="AJ159" i="1"/>
  <c r="AJ149" i="1"/>
  <c r="AJ154" i="1"/>
  <c r="AJ139" i="1"/>
  <c r="AJ144" i="1"/>
  <c r="AJ124" i="1"/>
  <c r="AJ134" i="1"/>
  <c r="AJ104" i="1"/>
  <c r="AJ119" i="1"/>
  <c r="AJ99" i="1"/>
  <c r="AJ84" i="1"/>
  <c r="AJ59" i="1"/>
  <c r="AJ74" i="1"/>
  <c r="AJ44" i="1"/>
  <c r="AJ49" i="1"/>
  <c r="AJ29" i="1"/>
  <c r="AJ39" i="1"/>
  <c r="AJ24" i="1"/>
  <c r="AJ14" i="1"/>
  <c r="AJ19" i="1"/>
  <c r="AJ129" i="1"/>
  <c r="AJ79" i="1"/>
  <c r="AJ34" i="1"/>
  <c r="AK10" i="1"/>
  <c r="AJ304" i="1" s="1"/>
  <c r="AK294" i="1" l="1"/>
  <c r="AK299" i="1"/>
  <c r="AK284" i="1"/>
  <c r="AJ289" i="1"/>
  <c r="AK274" i="1"/>
  <c r="AK279" i="1"/>
  <c r="AK264" i="1"/>
  <c r="AK269" i="1"/>
  <c r="AK254" i="1"/>
  <c r="AK259" i="1"/>
  <c r="AK244" i="1"/>
  <c r="AK249" i="1"/>
  <c r="AK234" i="1"/>
  <c r="AK239" i="1"/>
  <c r="AK224" i="1"/>
  <c r="AK229" i="1"/>
  <c r="AK214" i="1"/>
  <c r="AK219" i="1"/>
  <c r="AK204" i="1"/>
  <c r="AK209" i="1"/>
  <c r="AK194" i="1"/>
  <c r="AK199" i="1"/>
  <c r="AK184" i="1"/>
  <c r="AK189" i="1"/>
  <c r="AK174" i="1"/>
  <c r="AK179" i="1"/>
  <c r="AK164" i="1"/>
  <c r="AK169" i="1"/>
  <c r="AK159" i="1"/>
  <c r="AK149" i="1"/>
  <c r="AK154" i="1"/>
  <c r="AK139" i="1"/>
  <c r="AK144" i="1"/>
  <c r="AK124" i="1"/>
  <c r="AK134" i="1"/>
  <c r="AK104" i="1"/>
  <c r="AK119" i="1"/>
  <c r="AK99" i="1"/>
  <c r="AK84" i="1"/>
  <c r="AK59" i="1"/>
  <c r="AK74" i="1"/>
  <c r="AK44" i="1"/>
  <c r="AK49" i="1"/>
  <c r="AK29" i="1"/>
  <c r="AK39" i="1"/>
  <c r="AK24" i="1"/>
  <c r="AK14" i="1"/>
  <c r="AK19" i="1"/>
  <c r="AK129" i="1"/>
  <c r="AK79" i="1"/>
  <c r="AK34" i="1"/>
  <c r="AL10" i="1"/>
  <c r="AK304" i="1" s="1"/>
  <c r="AL294" i="1" l="1"/>
  <c r="AL299" i="1"/>
  <c r="AL284" i="1"/>
  <c r="AK289" i="1"/>
  <c r="AL274" i="1"/>
  <c r="AL279" i="1"/>
  <c r="AL264" i="1"/>
  <c r="AL269" i="1"/>
  <c r="AL254" i="1"/>
  <c r="AL259" i="1"/>
  <c r="AL244" i="1"/>
  <c r="AL249" i="1"/>
  <c r="AL234" i="1"/>
  <c r="AL239" i="1"/>
  <c r="AL224" i="1"/>
  <c r="AL229" i="1"/>
  <c r="AL214" i="1"/>
  <c r="AL219" i="1"/>
  <c r="AL204" i="1"/>
  <c r="AL209" i="1"/>
  <c r="AL194" i="1"/>
  <c r="AL199" i="1"/>
  <c r="AL184" i="1"/>
  <c r="AL189" i="1"/>
  <c r="AL174" i="1"/>
  <c r="AL179" i="1"/>
  <c r="AL164" i="1"/>
  <c r="AL169" i="1"/>
  <c r="AL159" i="1"/>
  <c r="AL149" i="1"/>
  <c r="AL154" i="1"/>
  <c r="AL139" i="1"/>
  <c r="AL144" i="1"/>
  <c r="AL124" i="1"/>
  <c r="AL134" i="1"/>
  <c r="AL104" i="1"/>
  <c r="AL119" i="1"/>
  <c r="AL99" i="1"/>
  <c r="AL84" i="1"/>
  <c r="AL59" i="1"/>
  <c r="AL74" i="1"/>
  <c r="AL44" i="1"/>
  <c r="AL49" i="1"/>
  <c r="AL29" i="1"/>
  <c r="AL39" i="1"/>
  <c r="AL24" i="1"/>
  <c r="AL14" i="1"/>
  <c r="AL19" i="1"/>
  <c r="AL129" i="1"/>
  <c r="AL79" i="1"/>
  <c r="AL34" i="1"/>
  <c r="AM10" i="1"/>
  <c r="AL304" i="1" s="1"/>
  <c r="AM294" i="1" l="1"/>
  <c r="AM299" i="1"/>
  <c r="AM284" i="1"/>
  <c r="AL289" i="1"/>
  <c r="AM274" i="1"/>
  <c r="AM279" i="1"/>
  <c r="AM264" i="1"/>
  <c r="AM269" i="1"/>
  <c r="AM254" i="1"/>
  <c r="AM259" i="1"/>
  <c r="AM244" i="1"/>
  <c r="AM249" i="1"/>
  <c r="AM234" i="1"/>
  <c r="AM239" i="1"/>
  <c r="AM224" i="1"/>
  <c r="AM229" i="1"/>
  <c r="AM214" i="1"/>
  <c r="AM219" i="1"/>
  <c r="AM204" i="1"/>
  <c r="AM209" i="1"/>
  <c r="AM194" i="1"/>
  <c r="AM199" i="1"/>
  <c r="AM184" i="1"/>
  <c r="AM189" i="1"/>
  <c r="AM174" i="1"/>
  <c r="AM179" i="1"/>
  <c r="AM164" i="1"/>
  <c r="AM169" i="1"/>
  <c r="AM159" i="1"/>
  <c r="AM149" i="1"/>
  <c r="AM154" i="1"/>
  <c r="AM139" i="1"/>
  <c r="AM144" i="1"/>
  <c r="AM124" i="1"/>
  <c r="AM134" i="1"/>
  <c r="AM104" i="1"/>
  <c r="AM119" i="1"/>
  <c r="AM99" i="1"/>
  <c r="AM84" i="1"/>
  <c r="AM59" i="1"/>
  <c r="AM74" i="1"/>
  <c r="AM44" i="1"/>
  <c r="AM49" i="1"/>
  <c r="AM29" i="1"/>
  <c r="AM39" i="1"/>
  <c r="AM24" i="1"/>
  <c r="AM14" i="1"/>
  <c r="AM19" i="1"/>
  <c r="AM129" i="1"/>
  <c r="AM79" i="1"/>
  <c r="AM34" i="1"/>
  <c r="AN10" i="1"/>
  <c r="AM304" i="1" s="1"/>
  <c r="AN294" i="1" l="1"/>
  <c r="AN299" i="1"/>
  <c r="AN284" i="1"/>
  <c r="AM289" i="1"/>
  <c r="AN274" i="1"/>
  <c r="AN279" i="1"/>
  <c r="AN264" i="1"/>
  <c r="AN269" i="1"/>
  <c r="AN254" i="1"/>
  <c r="AN259" i="1"/>
  <c r="AN244" i="1"/>
  <c r="AN249" i="1"/>
  <c r="AN234" i="1"/>
  <c r="AN239" i="1"/>
  <c r="AN224" i="1"/>
  <c r="AN229" i="1"/>
  <c r="AN214" i="1"/>
  <c r="AN219" i="1"/>
  <c r="AN204" i="1"/>
  <c r="AN209" i="1"/>
  <c r="AN194" i="1"/>
  <c r="AN199" i="1"/>
  <c r="AN184" i="1"/>
  <c r="AN189" i="1"/>
  <c r="AN174" i="1"/>
  <c r="AN179" i="1"/>
  <c r="AN164" i="1"/>
  <c r="AN169" i="1"/>
  <c r="AN159" i="1"/>
  <c r="AN149" i="1"/>
  <c r="AN154" i="1"/>
  <c r="AN139" i="1"/>
  <c r="AN144" i="1"/>
  <c r="AN124" i="1"/>
  <c r="AN134" i="1"/>
  <c r="AN104" i="1"/>
  <c r="AN119" i="1"/>
  <c r="AN99" i="1"/>
  <c r="AN84" i="1"/>
  <c r="AN59" i="1"/>
  <c r="AN74" i="1"/>
  <c r="AN44" i="1"/>
  <c r="AN49" i="1"/>
  <c r="AN29" i="1"/>
  <c r="AN39" i="1"/>
  <c r="AN24" i="1"/>
  <c r="AN14" i="1"/>
  <c r="AN19" i="1"/>
  <c r="AN129" i="1"/>
  <c r="AN79" i="1"/>
  <c r="AN34" i="1"/>
  <c r="AO10" i="1"/>
  <c r="AO269" i="1" l="1"/>
  <c r="AO209" i="1"/>
  <c r="AO104" i="1"/>
  <c r="AO19" i="1"/>
  <c r="AO169" i="1"/>
  <c r="AO29" i="1"/>
  <c r="AO189" i="1"/>
  <c r="AO119" i="1"/>
  <c r="AO144" i="1"/>
  <c r="AO174" i="1"/>
  <c r="AO79" i="1"/>
  <c r="AO194" i="1"/>
  <c r="AO14" i="1"/>
  <c r="AO249" i="1"/>
  <c r="AO284" i="1"/>
  <c r="AO234" i="1"/>
  <c r="AO99" i="1"/>
  <c r="AO274" i="1"/>
  <c r="AO244" i="1"/>
  <c r="AO259" i="1"/>
  <c r="AO214" i="1"/>
  <c r="AO239" i="1"/>
  <c r="AO44" i="1"/>
  <c r="AO219" i="1"/>
  <c r="AO199" i="1"/>
  <c r="AO204" i="1"/>
  <c r="AO24" i="1"/>
  <c r="AO39" i="1"/>
  <c r="AO139" i="1"/>
  <c r="AO134" i="1"/>
  <c r="AO294" i="1"/>
  <c r="AO34" i="1"/>
  <c r="AO154" i="1"/>
  <c r="AO159" i="1"/>
  <c r="AO229" i="1"/>
  <c r="AO49" i="1"/>
  <c r="AO264" i="1"/>
  <c r="AO59" i="1"/>
  <c r="AO184" i="1"/>
  <c r="AO124" i="1"/>
  <c r="AO74" i="1"/>
  <c r="AO299" i="1"/>
  <c r="AO179" i="1"/>
  <c r="AO254" i="1"/>
  <c r="AO279" i="1"/>
  <c r="AO164" i="1"/>
  <c r="AO224" i="1"/>
  <c r="AO149" i="1"/>
  <c r="AO129" i="1"/>
  <c r="AO84" i="1"/>
  <c r="AN289" i="1"/>
  <c r="AN304" i="1"/>
  <c r="AP10" i="1"/>
  <c r="AP189" i="1" l="1"/>
  <c r="AP184" i="1"/>
  <c r="AP179" i="1"/>
  <c r="AP229" i="1"/>
  <c r="AP269" i="1"/>
  <c r="AP44" i="1"/>
  <c r="AP79" i="1"/>
  <c r="AP214" i="1"/>
  <c r="AP164" i="1"/>
  <c r="AP99" i="1"/>
  <c r="AP124" i="1"/>
  <c r="AP224" i="1"/>
  <c r="AP299" i="1"/>
  <c r="AP14" i="1"/>
  <c r="AP219" i="1"/>
  <c r="AP39" i="1"/>
  <c r="AP49" i="1"/>
  <c r="AP29" i="1"/>
  <c r="AP274" i="1"/>
  <c r="AP264" i="1"/>
  <c r="AP139" i="1"/>
  <c r="AP104" i="1"/>
  <c r="AP234" i="1"/>
  <c r="AP19" i="1"/>
  <c r="AP59" i="1"/>
  <c r="AP284" i="1"/>
  <c r="AP129" i="1"/>
  <c r="AP159" i="1"/>
  <c r="AP279" i="1"/>
  <c r="AP34" i="1"/>
  <c r="AP244" i="1"/>
  <c r="AP74" i="1"/>
  <c r="AP24" i="1"/>
  <c r="AP209" i="1"/>
  <c r="AP169" i="1"/>
  <c r="AP149" i="1"/>
  <c r="AP174" i="1"/>
  <c r="AP154" i="1"/>
  <c r="AP294" i="1"/>
  <c r="AP254" i="1"/>
  <c r="AP204" i="1"/>
  <c r="AP249" i="1"/>
  <c r="AP144" i="1"/>
  <c r="AP199" i="1"/>
  <c r="AP194" i="1"/>
  <c r="AP134" i="1"/>
  <c r="AP239" i="1"/>
  <c r="AP259" i="1"/>
  <c r="AP119" i="1"/>
  <c r="AP84" i="1"/>
  <c r="AO304" i="1"/>
  <c r="AO289" i="1"/>
  <c r="AQ10" i="1"/>
  <c r="AP289" i="1" l="1"/>
  <c r="AP304" i="1"/>
  <c r="AQ134" i="1"/>
  <c r="AQ204" i="1"/>
  <c r="AQ129" i="1"/>
  <c r="AQ124" i="1"/>
  <c r="AQ164" i="1"/>
  <c r="AQ154" i="1"/>
  <c r="AQ274" i="1"/>
  <c r="AQ59" i="1"/>
  <c r="AQ74" i="1"/>
  <c r="AQ224" i="1"/>
  <c r="AQ79" i="1"/>
  <c r="AQ119" i="1"/>
  <c r="AQ199" i="1"/>
  <c r="AQ159" i="1"/>
  <c r="AQ19" i="1"/>
  <c r="AQ209" i="1"/>
  <c r="AQ34" i="1"/>
  <c r="AQ39" i="1"/>
  <c r="AQ184" i="1"/>
  <c r="AQ144" i="1"/>
  <c r="AQ174" i="1"/>
  <c r="AQ249" i="1"/>
  <c r="AQ299" i="1"/>
  <c r="AQ84" i="1"/>
  <c r="AQ24" i="1"/>
  <c r="AQ219" i="1"/>
  <c r="AQ189" i="1"/>
  <c r="AQ49" i="1"/>
  <c r="AQ254" i="1"/>
  <c r="AQ99" i="1"/>
  <c r="AQ234" i="1"/>
  <c r="AQ139" i="1"/>
  <c r="AQ279" i="1"/>
  <c r="AQ244" i="1"/>
  <c r="AQ149" i="1"/>
  <c r="AQ194" i="1"/>
  <c r="AQ104" i="1"/>
  <c r="AQ269" i="1"/>
  <c r="AQ284" i="1"/>
  <c r="AQ214" i="1"/>
  <c r="AQ239" i="1"/>
  <c r="AQ179" i="1"/>
  <c r="AQ259" i="1"/>
  <c r="AQ29" i="1"/>
  <c r="AQ229" i="1"/>
  <c r="AQ44" i="1"/>
  <c r="AQ294" i="1"/>
  <c r="AQ169" i="1"/>
  <c r="AQ264" i="1"/>
  <c r="AQ14" i="1"/>
  <c r="AR10" i="1"/>
  <c r="AQ304" i="1" l="1"/>
  <c r="AQ289" i="1"/>
  <c r="AR159" i="1"/>
  <c r="AR59" i="1"/>
  <c r="AR134" i="1"/>
  <c r="AR39" i="1"/>
  <c r="AR244" i="1"/>
  <c r="AR199" i="1"/>
  <c r="AR144" i="1"/>
  <c r="AR29" i="1"/>
  <c r="AR129" i="1"/>
  <c r="AR234" i="1"/>
  <c r="AR139" i="1"/>
  <c r="AR209" i="1"/>
  <c r="AR164" i="1"/>
  <c r="AR249" i="1"/>
  <c r="AR174" i="1"/>
  <c r="AR224" i="1"/>
  <c r="AR284" i="1"/>
  <c r="AR229" i="1"/>
  <c r="AR169" i="1"/>
  <c r="AR119" i="1"/>
  <c r="AR49" i="1"/>
  <c r="AR149" i="1"/>
  <c r="AR84" i="1"/>
  <c r="AR274" i="1"/>
  <c r="AR184" i="1"/>
  <c r="AR124" i="1"/>
  <c r="AR219" i="1"/>
  <c r="AR204" i="1"/>
  <c r="AR154" i="1"/>
  <c r="AR264" i="1"/>
  <c r="AR34" i="1"/>
  <c r="AR74" i="1"/>
  <c r="AR269" i="1"/>
  <c r="AR79" i="1"/>
  <c r="AR14" i="1"/>
  <c r="AR279" i="1"/>
  <c r="AR259" i="1"/>
  <c r="AR299" i="1"/>
  <c r="AR214" i="1"/>
  <c r="AR99" i="1"/>
  <c r="AR254" i="1"/>
  <c r="AR239" i="1"/>
  <c r="AR294" i="1"/>
  <c r="AR189" i="1"/>
  <c r="AR19" i="1"/>
  <c r="AR104" i="1"/>
  <c r="AR24" i="1"/>
  <c r="AR179" i="1"/>
  <c r="AR194" i="1"/>
  <c r="AR44" i="1"/>
  <c r="AS10" i="1"/>
  <c r="AR289" i="1" l="1"/>
  <c r="AR304" i="1"/>
  <c r="AS134" i="1"/>
  <c r="AS224" i="1"/>
  <c r="AS284" i="1"/>
  <c r="AS194" i="1"/>
  <c r="AS239" i="1"/>
  <c r="AS74" i="1"/>
  <c r="AS279" i="1"/>
  <c r="AS124" i="1"/>
  <c r="AS174" i="1"/>
  <c r="AS254" i="1"/>
  <c r="AS264" i="1"/>
  <c r="AS19" i="1"/>
  <c r="AS274" i="1"/>
  <c r="AS184" i="1"/>
  <c r="AS189" i="1"/>
  <c r="AS34" i="1"/>
  <c r="AS139" i="1"/>
  <c r="AS119" i="1"/>
  <c r="AS44" i="1"/>
  <c r="AS159" i="1"/>
  <c r="AS269" i="1"/>
  <c r="AS294" i="1"/>
  <c r="AS79" i="1"/>
  <c r="AS84" i="1"/>
  <c r="AS234" i="1"/>
  <c r="AS164" i="1"/>
  <c r="AS39" i="1"/>
  <c r="AS49" i="1"/>
  <c r="AS14" i="1"/>
  <c r="AS219" i="1"/>
  <c r="AS169" i="1"/>
  <c r="AS199" i="1"/>
  <c r="AS59" i="1"/>
  <c r="AS249" i="1"/>
  <c r="AS149" i="1"/>
  <c r="AS99" i="1"/>
  <c r="AS259" i="1"/>
  <c r="AS214" i="1"/>
  <c r="AS129" i="1"/>
  <c r="AS244" i="1"/>
  <c r="AS104" i="1"/>
  <c r="AS144" i="1"/>
  <c r="AS209" i="1"/>
  <c r="AS24" i="1"/>
  <c r="AS179" i="1"/>
  <c r="AS154" i="1"/>
  <c r="AS299" i="1"/>
  <c r="AS204" i="1"/>
  <c r="AS229" i="1"/>
  <c r="AS29" i="1"/>
  <c r="AT10" i="1"/>
  <c r="AS289" i="1" l="1"/>
  <c r="AS304" i="1"/>
  <c r="AT169" i="1"/>
  <c r="AT84" i="1"/>
  <c r="AT49" i="1"/>
  <c r="AT164" i="1"/>
  <c r="AT274" i="1"/>
  <c r="AT34" i="1"/>
  <c r="AT269" i="1"/>
  <c r="AT249" i="1"/>
  <c r="AT119" i="1"/>
  <c r="AT19" i="1"/>
  <c r="AT129" i="1"/>
  <c r="AT259" i="1"/>
  <c r="AT99" i="1"/>
  <c r="AT179" i="1"/>
  <c r="AT134" i="1"/>
  <c r="AT209" i="1"/>
  <c r="AT219" i="1"/>
  <c r="AT279" i="1"/>
  <c r="AT224" i="1"/>
  <c r="AT14" i="1"/>
  <c r="AT79" i="1"/>
  <c r="AT204" i="1"/>
  <c r="AT144" i="1"/>
  <c r="AT139" i="1"/>
  <c r="AT174" i="1"/>
  <c r="AT104" i="1"/>
  <c r="AT24" i="1"/>
  <c r="AT294" i="1"/>
  <c r="AT189" i="1"/>
  <c r="AT194" i="1"/>
  <c r="AT159" i="1"/>
  <c r="AT234" i="1"/>
  <c r="AT184" i="1"/>
  <c r="AT154" i="1"/>
  <c r="AT149" i="1"/>
  <c r="AT244" i="1"/>
  <c r="AT59" i="1"/>
  <c r="AT74" i="1"/>
  <c r="AT284" i="1"/>
  <c r="AT199" i="1"/>
  <c r="AT229" i="1"/>
  <c r="AT44" i="1"/>
  <c r="AT299" i="1"/>
  <c r="AT124" i="1"/>
  <c r="AT239" i="1"/>
  <c r="AT39" i="1"/>
  <c r="AT29" i="1"/>
  <c r="AT214" i="1"/>
  <c r="AT264" i="1"/>
  <c r="AT254" i="1"/>
  <c r="AU10" i="1"/>
  <c r="AT289" i="1" l="1"/>
  <c r="AT304" i="1"/>
  <c r="AU144" i="1"/>
  <c r="AU34" i="1"/>
  <c r="AU209" i="1"/>
  <c r="AU179" i="1"/>
  <c r="AU194" i="1"/>
  <c r="AU299" i="1"/>
  <c r="AU169" i="1"/>
  <c r="AU214" i="1"/>
  <c r="AU99" i="1"/>
  <c r="AU264" i="1"/>
  <c r="AU149" i="1"/>
  <c r="AU14" i="1"/>
  <c r="AU79" i="1"/>
  <c r="AU259" i="1"/>
  <c r="AU279" i="1"/>
  <c r="AU154" i="1"/>
  <c r="AU44" i="1"/>
  <c r="AU294" i="1"/>
  <c r="AU74" i="1"/>
  <c r="AU129" i="1"/>
  <c r="AU174" i="1"/>
  <c r="AU84" i="1"/>
  <c r="AU139" i="1"/>
  <c r="AU229" i="1"/>
  <c r="AU254" i="1"/>
  <c r="AU19" i="1"/>
  <c r="AU274" i="1"/>
  <c r="AU24" i="1"/>
  <c r="AU234" i="1"/>
  <c r="AU189" i="1"/>
  <c r="AU159" i="1"/>
  <c r="AU124" i="1"/>
  <c r="AU29" i="1"/>
  <c r="AU284" i="1"/>
  <c r="AU249" i="1"/>
  <c r="AU104" i="1"/>
  <c r="AU59" i="1"/>
  <c r="AU204" i="1"/>
  <c r="AU119" i="1"/>
  <c r="AU219" i="1"/>
  <c r="AU49" i="1"/>
  <c r="AU184" i="1"/>
  <c r="AU244" i="1"/>
  <c r="AU134" i="1"/>
  <c r="AU39" i="1"/>
  <c r="AU269" i="1"/>
  <c r="AU164" i="1"/>
  <c r="AU224" i="1"/>
  <c r="AU199" i="1"/>
  <c r="AU239" i="1"/>
  <c r="AV10" i="1"/>
  <c r="AD52" i="2"/>
  <c r="AV179" i="1" l="1"/>
  <c r="AV134" i="1"/>
  <c r="AV124" i="1"/>
  <c r="AV139" i="1"/>
  <c r="AV59" i="1"/>
  <c r="AV169" i="1"/>
  <c r="AV44" i="1"/>
  <c r="AV129" i="1"/>
  <c r="AV224" i="1"/>
  <c r="AV229" i="1"/>
  <c r="AV29" i="1"/>
  <c r="AV259" i="1"/>
  <c r="AV79" i="1"/>
  <c r="AV249" i="1"/>
  <c r="AV269" i="1"/>
  <c r="AV144" i="1"/>
  <c r="AV24" i="1"/>
  <c r="AV184" i="1"/>
  <c r="AV104" i="1"/>
  <c r="AV299" i="1"/>
  <c r="AV74" i="1"/>
  <c r="AV19" i="1"/>
  <c r="AV99" i="1"/>
  <c r="AV204" i="1"/>
  <c r="AV159" i="1"/>
  <c r="AV154" i="1"/>
  <c r="AV264" i="1"/>
  <c r="AV164" i="1"/>
  <c r="AV34" i="1"/>
  <c r="AV149" i="1"/>
  <c r="AV174" i="1"/>
  <c r="AV194" i="1"/>
  <c r="AV254" i="1"/>
  <c r="AV199" i="1"/>
  <c r="AV209" i="1"/>
  <c r="AV189" i="1"/>
  <c r="AV219" i="1"/>
  <c r="AV39" i="1"/>
  <c r="AV244" i="1"/>
  <c r="AV239" i="1"/>
  <c r="AV119" i="1"/>
  <c r="AV49" i="1"/>
  <c r="AV284" i="1"/>
  <c r="AV294" i="1"/>
  <c r="AV214" i="1"/>
  <c r="AV234" i="1"/>
  <c r="AV274" i="1"/>
  <c r="AV14" i="1"/>
  <c r="AV84" i="1"/>
  <c r="AV279" i="1"/>
  <c r="AU304" i="1"/>
  <c r="AU289" i="1"/>
  <c r="AW10" i="1"/>
  <c r="AV289" i="1" l="1"/>
  <c r="AV304" i="1"/>
  <c r="AW154" i="1"/>
  <c r="AW144" i="1"/>
  <c r="AW29" i="1"/>
  <c r="AW149" i="1"/>
  <c r="AW294" i="1"/>
  <c r="AW19" i="1"/>
  <c r="AW229" i="1"/>
  <c r="AW299" i="1"/>
  <c r="AW39" i="1"/>
  <c r="AW14" i="1"/>
  <c r="AW204" i="1"/>
  <c r="AW79" i="1"/>
  <c r="AW189" i="1"/>
  <c r="AW224" i="1"/>
  <c r="AW219" i="1"/>
  <c r="AW59" i="1"/>
  <c r="AW244" i="1"/>
  <c r="AW44" i="1"/>
  <c r="AW254" i="1"/>
  <c r="AW274" i="1"/>
  <c r="AW214" i="1"/>
  <c r="AW264" i="1"/>
  <c r="AW49" i="1"/>
  <c r="AW284" i="1"/>
  <c r="AW24" i="1"/>
  <c r="AW139" i="1"/>
  <c r="AW169" i="1"/>
  <c r="AW119" i="1"/>
  <c r="AW134" i="1"/>
  <c r="AW279" i="1"/>
  <c r="AW34" i="1"/>
  <c r="AW124" i="1"/>
  <c r="AW159" i="1"/>
  <c r="AW74" i="1"/>
  <c r="AW239" i="1"/>
  <c r="AW209" i="1"/>
  <c r="AW104" i="1"/>
  <c r="AW164" i="1"/>
  <c r="AW199" i="1"/>
  <c r="AW174" i="1"/>
  <c r="AW129" i="1"/>
  <c r="AW184" i="1"/>
  <c r="AW249" i="1"/>
  <c r="AW269" i="1"/>
  <c r="AW259" i="1"/>
  <c r="AW234" i="1"/>
  <c r="AW84" i="1"/>
  <c r="AW99" i="1"/>
  <c r="AW194" i="1"/>
  <c r="AW179" i="1"/>
  <c r="AX10" i="1"/>
  <c r="AW304" i="1" l="1"/>
  <c r="AW289" i="1"/>
  <c r="AX124" i="1"/>
  <c r="AX249" i="1"/>
  <c r="AX49" i="1"/>
  <c r="AX39" i="1"/>
  <c r="AX234" i="1"/>
  <c r="AX294" i="1"/>
  <c r="AX119" i="1"/>
  <c r="AX269" i="1"/>
  <c r="AX184" i="1"/>
  <c r="AX84" i="1"/>
  <c r="AX204" i="1"/>
  <c r="AX169" i="1"/>
  <c r="AX284" i="1"/>
  <c r="AX44" i="1"/>
  <c r="AX199" i="1"/>
  <c r="AX229" i="1"/>
  <c r="AX149" i="1"/>
  <c r="AX99" i="1"/>
  <c r="AX159" i="1"/>
  <c r="AX59" i="1"/>
  <c r="AX104" i="1"/>
  <c r="AX264" i="1"/>
  <c r="AX34" i="1"/>
  <c r="AX194" i="1"/>
  <c r="AX154" i="1"/>
  <c r="AX134" i="1"/>
  <c r="AX219" i="1"/>
  <c r="AX274" i="1"/>
  <c r="AX254" i="1"/>
  <c r="AX214" i="1"/>
  <c r="AX224" i="1"/>
  <c r="AX259" i="1"/>
  <c r="AX24" i="1"/>
  <c r="AX244" i="1"/>
  <c r="AX74" i="1"/>
  <c r="AX129" i="1"/>
  <c r="AX279" i="1"/>
  <c r="AX164" i="1"/>
  <c r="AX299" i="1"/>
  <c r="AX29" i="1"/>
  <c r="AX209" i="1"/>
  <c r="AX14" i="1"/>
  <c r="AX139" i="1"/>
  <c r="AX19" i="1"/>
  <c r="AX79" i="1"/>
  <c r="AX179" i="1"/>
  <c r="AX144" i="1"/>
  <c r="AX239" i="1"/>
  <c r="AX189" i="1"/>
  <c r="AX174" i="1"/>
  <c r="AY10" i="1"/>
  <c r="AX304" i="1" l="1"/>
  <c r="AX289" i="1"/>
  <c r="AY164" i="1"/>
  <c r="AY99" i="1"/>
  <c r="AY194" i="1"/>
  <c r="AY204" i="1"/>
  <c r="AY174" i="1"/>
  <c r="AY139" i="1"/>
  <c r="AY149" i="1"/>
  <c r="AY249" i="1"/>
  <c r="AY14" i="1"/>
  <c r="AY299" i="1"/>
  <c r="AY229" i="1"/>
  <c r="AY129" i="1"/>
  <c r="AY239" i="1"/>
  <c r="AY59" i="1"/>
  <c r="AY104" i="1"/>
  <c r="AY154" i="1"/>
  <c r="AY44" i="1"/>
  <c r="AY159" i="1"/>
  <c r="AY199" i="1"/>
  <c r="AY294" i="1"/>
  <c r="AY209" i="1"/>
  <c r="AY134" i="1"/>
  <c r="AY219" i="1"/>
  <c r="AY244" i="1"/>
  <c r="AY119" i="1"/>
  <c r="AY34" i="1"/>
  <c r="AY84" i="1"/>
  <c r="AY224" i="1"/>
  <c r="AY274" i="1"/>
  <c r="AY254" i="1"/>
  <c r="AY79" i="1"/>
  <c r="AY189" i="1"/>
  <c r="AY39" i="1"/>
  <c r="AY264" i="1"/>
  <c r="AY169" i="1"/>
  <c r="AY144" i="1"/>
  <c r="AY179" i="1"/>
  <c r="AY269" i="1"/>
  <c r="AY234" i="1"/>
  <c r="AY74" i="1"/>
  <c r="AY184" i="1"/>
  <c r="AY19" i="1"/>
  <c r="AY259" i="1"/>
  <c r="AY24" i="1"/>
  <c r="AY284" i="1"/>
  <c r="AY279" i="1"/>
  <c r="AY29" i="1"/>
  <c r="AY214" i="1"/>
  <c r="AY124" i="1"/>
  <c r="AY49" i="1"/>
  <c r="AZ10" i="1"/>
  <c r="AZ139" i="1" l="1"/>
  <c r="AZ124" i="1"/>
  <c r="AZ224" i="1"/>
  <c r="AZ134" i="1"/>
  <c r="AZ19" i="1"/>
  <c r="AZ294" i="1"/>
  <c r="AZ219" i="1"/>
  <c r="AZ209" i="1"/>
  <c r="AZ264" i="1"/>
  <c r="AZ174" i="1"/>
  <c r="AZ269" i="1"/>
  <c r="AZ189" i="1"/>
  <c r="AZ159" i="1"/>
  <c r="AZ274" i="1"/>
  <c r="AZ39" i="1"/>
  <c r="AZ244" i="1"/>
  <c r="AZ239" i="1"/>
  <c r="AZ44" i="1"/>
  <c r="AZ194" i="1"/>
  <c r="AZ299" i="1"/>
  <c r="AZ79" i="1"/>
  <c r="AZ184" i="1"/>
  <c r="AZ249" i="1"/>
  <c r="AZ284" i="1"/>
  <c r="AZ14" i="1"/>
  <c r="AZ74" i="1"/>
  <c r="AZ84" i="1"/>
  <c r="AZ149" i="1"/>
  <c r="AZ2" i="1"/>
  <c r="AZ229" i="1"/>
  <c r="AZ279" i="1"/>
  <c r="AZ254" i="1"/>
  <c r="AZ214" i="1"/>
  <c r="AZ119" i="1"/>
  <c r="AZ99" i="1"/>
  <c r="AZ164" i="1"/>
  <c r="AZ104" i="1"/>
  <c r="AZ129" i="1"/>
  <c r="AZ59" i="1"/>
  <c r="AZ204" i="1"/>
  <c r="AZ34" i="1"/>
  <c r="AZ199" i="1"/>
  <c r="AZ49" i="1"/>
  <c r="AZ29" i="1"/>
  <c r="AZ24" i="1"/>
  <c r="AZ179" i="1"/>
  <c r="AZ259" i="1"/>
  <c r="AZ169" i="1"/>
  <c r="AZ234" i="1"/>
  <c r="AZ154" i="1"/>
  <c r="AZ144" i="1"/>
  <c r="AY304" i="1"/>
  <c r="AY289" i="1"/>
  <c r="BA10" i="1"/>
  <c r="AZ289" i="1" l="1"/>
  <c r="AZ304" i="1"/>
  <c r="BA174" i="1"/>
  <c r="BA74" i="1"/>
  <c r="BA194" i="1"/>
  <c r="BA84" i="1"/>
  <c r="BA79" i="1"/>
  <c r="BA234" i="1"/>
  <c r="BA129" i="1"/>
  <c r="BA264" i="1"/>
  <c r="BA179" i="1"/>
  <c r="BA274" i="1"/>
  <c r="BA229" i="1"/>
  <c r="BA294" i="1"/>
  <c r="BA14" i="1"/>
  <c r="BA59" i="1"/>
  <c r="BA284" i="1"/>
  <c r="BA159" i="1"/>
  <c r="BA44" i="1"/>
  <c r="BA239" i="1"/>
  <c r="BA19" i="1"/>
  <c r="BA144" i="1"/>
  <c r="BA169" i="1"/>
  <c r="BA119" i="1"/>
  <c r="BA254" i="1"/>
  <c r="BA259" i="1"/>
  <c r="BA134" i="1"/>
  <c r="BA299" i="1"/>
  <c r="BA244" i="1"/>
  <c r="BA49" i="1"/>
  <c r="BA249" i="1"/>
  <c r="BA279" i="1"/>
  <c r="BA29" i="1"/>
  <c r="BA124" i="1"/>
  <c r="BA269" i="1"/>
  <c r="BA209" i="1"/>
  <c r="BA24" i="1"/>
  <c r="BA224" i="1"/>
  <c r="BA189" i="1"/>
  <c r="BA184" i="1"/>
  <c r="BA164" i="1"/>
  <c r="BA99" i="1"/>
  <c r="BA154" i="1"/>
  <c r="BA214" i="1"/>
  <c r="BA34" i="1"/>
  <c r="BA199" i="1"/>
  <c r="BA149" i="1"/>
  <c r="BA219" i="1"/>
  <c r="BA139" i="1"/>
  <c r="BA2" i="1"/>
  <c r="BA39" i="1"/>
  <c r="BA204" i="1"/>
  <c r="BA104" i="1"/>
  <c r="BB10" i="1"/>
  <c r="BA289" i="1" l="1"/>
  <c r="BA304" i="1"/>
  <c r="BB149" i="1"/>
  <c r="BB164" i="1"/>
  <c r="BB159" i="1"/>
  <c r="BB239" i="1"/>
  <c r="BB184" i="1"/>
  <c r="BB254" i="1"/>
  <c r="BB174" i="1"/>
  <c r="BB264" i="1"/>
  <c r="BB209" i="1"/>
  <c r="BB204" i="1"/>
  <c r="BB269" i="1"/>
  <c r="BB169" i="1"/>
  <c r="BB139" i="1"/>
  <c r="BB59" i="1"/>
  <c r="BB274" i="1"/>
  <c r="BB134" i="1"/>
  <c r="BB119" i="1"/>
  <c r="BB189" i="1"/>
  <c r="BB259" i="1"/>
  <c r="BB34" i="1"/>
  <c r="BB294" i="1"/>
  <c r="BB194" i="1"/>
  <c r="BB154" i="1"/>
  <c r="BB79" i="1"/>
  <c r="BB39" i="1"/>
  <c r="BB299" i="1"/>
  <c r="BB24" i="1"/>
  <c r="BB179" i="1"/>
  <c r="BB29" i="1"/>
  <c r="BB124" i="1"/>
  <c r="BB219" i="1"/>
  <c r="BB2" i="1"/>
  <c r="BB104" i="1"/>
  <c r="BB224" i="1"/>
  <c r="BB249" i="1"/>
  <c r="BB49" i="1"/>
  <c r="BB14" i="1"/>
  <c r="BB74" i="1"/>
  <c r="BB144" i="1"/>
  <c r="BB199" i="1"/>
  <c r="BB229" i="1"/>
  <c r="BB129" i="1"/>
  <c r="BB19" i="1"/>
  <c r="BB279" i="1"/>
  <c r="BB284" i="1"/>
  <c r="BB44" i="1"/>
  <c r="BB84" i="1"/>
  <c r="BB99" i="1"/>
  <c r="BB234" i="1"/>
  <c r="BB214" i="1"/>
  <c r="BB244" i="1"/>
  <c r="BC10" i="1"/>
  <c r="BB304" i="1" l="1"/>
  <c r="BB289" i="1"/>
  <c r="BC184" i="1"/>
  <c r="BC154" i="1"/>
  <c r="BC264" i="1"/>
  <c r="BC234" i="1"/>
  <c r="BC299" i="1"/>
  <c r="BC189" i="1"/>
  <c r="BC144" i="1"/>
  <c r="BC24" i="1"/>
  <c r="BC134" i="1"/>
  <c r="BC199" i="1"/>
  <c r="BC74" i="1"/>
  <c r="BC274" i="1"/>
  <c r="BC169" i="1"/>
  <c r="BC149" i="1"/>
  <c r="BC164" i="1"/>
  <c r="BC84" i="1"/>
  <c r="BC159" i="1"/>
  <c r="BC124" i="1"/>
  <c r="BC179" i="1"/>
  <c r="BC194" i="1"/>
  <c r="BC269" i="1"/>
  <c r="BC219" i="1"/>
  <c r="BC244" i="1"/>
  <c r="BC14" i="1"/>
  <c r="BC79" i="1"/>
  <c r="BC29" i="1"/>
  <c r="BC59" i="1"/>
  <c r="BC139" i="1"/>
  <c r="BC259" i="1"/>
  <c r="BC239" i="1"/>
  <c r="BC174" i="1"/>
  <c r="BC254" i="1"/>
  <c r="BC209" i="1"/>
  <c r="BC39" i="1"/>
  <c r="BC99" i="1"/>
  <c r="BC224" i="1"/>
  <c r="BC214" i="1"/>
  <c r="BC249" i="1"/>
  <c r="BC104" i="1"/>
  <c r="BC294" i="1"/>
  <c r="BC229" i="1"/>
  <c r="BC19" i="1"/>
  <c r="BC129" i="1"/>
  <c r="BC2" i="1"/>
  <c r="BC204" i="1"/>
  <c r="BC119" i="1"/>
  <c r="BC44" i="1"/>
  <c r="BC284" i="1"/>
  <c r="BC49" i="1"/>
  <c r="BC34" i="1"/>
  <c r="BC279" i="1"/>
  <c r="BD10" i="1"/>
  <c r="BC289" i="1" l="1"/>
  <c r="BC304" i="1"/>
  <c r="BD159" i="1"/>
  <c r="BD39" i="1"/>
  <c r="BD164" i="1"/>
  <c r="BD79" i="1"/>
  <c r="BD169" i="1"/>
  <c r="BD44" i="1"/>
  <c r="BD254" i="1"/>
  <c r="BD184" i="1"/>
  <c r="BD139" i="1"/>
  <c r="BD189" i="1"/>
  <c r="BD119" i="1"/>
  <c r="BD284" i="1"/>
  <c r="BD264" i="1"/>
  <c r="BD234" i="1"/>
  <c r="BD74" i="1"/>
  <c r="BD154" i="1"/>
  <c r="BD149" i="1"/>
  <c r="AE180" i="1" s="1"/>
  <c r="BD124" i="1"/>
  <c r="BD49" i="1"/>
  <c r="BD299" i="1"/>
  <c r="BD59" i="1"/>
  <c r="BD34" i="1"/>
  <c r="BD199" i="1"/>
  <c r="BD174" i="1"/>
  <c r="BD104" i="1"/>
  <c r="BD259" i="1"/>
  <c r="BD19" i="1"/>
  <c r="BD214" i="1"/>
  <c r="BD29" i="1"/>
  <c r="BD144" i="1"/>
  <c r="AE175" i="1" s="1"/>
  <c r="BD204" i="1"/>
  <c r="BD249" i="1"/>
  <c r="BD239" i="1"/>
  <c r="BD194" i="1"/>
  <c r="BD179" i="1"/>
  <c r="AJ225" i="1" s="1"/>
  <c r="BD209" i="1"/>
  <c r="BD274" i="1"/>
  <c r="BD224" i="1"/>
  <c r="BD24" i="1"/>
  <c r="BD269" i="1"/>
  <c r="BD14" i="1"/>
  <c r="BD244" i="1"/>
  <c r="BD134" i="1"/>
  <c r="BD99" i="1"/>
  <c r="BD229" i="1"/>
  <c r="BD219" i="1"/>
  <c r="BD294" i="1"/>
  <c r="BD2" i="1"/>
  <c r="BD129" i="1"/>
  <c r="BD84" i="1"/>
  <c r="BD279" i="1"/>
  <c r="BE10" i="1"/>
  <c r="AA25" i="1" l="1"/>
  <c r="AB25" i="1"/>
  <c r="AC25" i="1"/>
  <c r="Z25" i="1"/>
  <c r="BD289" i="1"/>
  <c r="BD304" i="1"/>
  <c r="BF10" i="1"/>
  <c r="BG10" i="1" l="1"/>
  <c r="E299" i="1" l="1"/>
  <c r="E304" i="1"/>
  <c r="E289" i="1"/>
  <c r="E294" i="1"/>
  <c r="E284" i="1"/>
  <c r="E269" i="1"/>
  <c r="E274" i="1"/>
  <c r="E259" i="1"/>
  <c r="E264" i="1"/>
  <c r="E249" i="1"/>
  <c r="E254" i="1"/>
  <c r="E244" i="1"/>
  <c r="E229" i="1"/>
  <c r="E234" i="1"/>
  <c r="E219" i="1"/>
  <c r="E224" i="1"/>
  <c r="E144" i="1"/>
  <c r="E149" i="1"/>
  <c r="E134" i="1"/>
  <c r="E139" i="1"/>
  <c r="E124" i="1"/>
  <c r="E104" i="1"/>
  <c r="E119" i="1"/>
  <c r="E84" i="1"/>
  <c r="E99" i="1"/>
  <c r="E74" i="1"/>
  <c r="E79" i="1"/>
  <c r="E49" i="1"/>
  <c r="E59" i="1"/>
  <c r="E39" i="1"/>
  <c r="E44" i="1"/>
  <c r="E24" i="1"/>
  <c r="E29" i="1"/>
  <c r="E34" i="1"/>
  <c r="E199" i="1" l="1"/>
  <c r="E174" i="1"/>
  <c r="E189" i="1"/>
  <c r="AI44" i="2" s="1"/>
  <c r="E194" i="1"/>
  <c r="AE225" i="1"/>
  <c r="E184" i="1"/>
  <c r="AI43" i="2" s="1"/>
  <c r="E154" i="1"/>
  <c r="AI37" i="2" s="1"/>
  <c r="E169" i="1"/>
  <c r="AE200" i="1"/>
  <c r="E159" i="1"/>
  <c r="E179" i="1"/>
  <c r="E204" i="1"/>
  <c r="AI47" i="2" s="1"/>
  <c r="E209" i="1"/>
  <c r="AI48" i="2" s="1"/>
  <c r="E19" i="1"/>
  <c r="AU225" i="1"/>
  <c r="AI21" i="2"/>
  <c r="AI15" i="2"/>
  <c r="AK225" i="1"/>
  <c r="Q225" i="1"/>
  <c r="AC225" i="1"/>
  <c r="BE225" i="1"/>
  <c r="AL225" i="1"/>
  <c r="BD225" i="1"/>
  <c r="M225" i="1"/>
  <c r="AN225" i="1"/>
  <c r="AG225" i="1"/>
  <c r="AR225" i="1"/>
  <c r="AF225" i="1"/>
  <c r="AS225" i="1"/>
  <c r="AI57" i="2"/>
  <c r="AD48" i="2"/>
  <c r="AP225" i="1"/>
  <c r="S225" i="1"/>
  <c r="O225" i="1"/>
  <c r="W225" i="1"/>
  <c r="X225" i="1"/>
  <c r="AQ225" i="1"/>
  <c r="T225" i="1"/>
  <c r="P225" i="1"/>
  <c r="V225" i="1"/>
  <c r="R225" i="1"/>
  <c r="BB225" i="1"/>
  <c r="BG225" i="1"/>
  <c r="BF225" i="1"/>
  <c r="AT225" i="1"/>
  <c r="AX225" i="1"/>
  <c r="AM225" i="1"/>
  <c r="L225" i="1"/>
  <c r="AY225" i="1"/>
  <c r="U225" i="1"/>
  <c r="Y225" i="1"/>
  <c r="AD225" i="1"/>
  <c r="Z225" i="1"/>
  <c r="AZ225" i="1"/>
  <c r="AI225" i="1"/>
  <c r="AH225" i="1"/>
  <c r="N225" i="1"/>
  <c r="BC225" i="1"/>
  <c r="AI31" i="2"/>
  <c r="AD63" i="2"/>
  <c r="AI52" i="2"/>
  <c r="AI23" i="2"/>
  <c r="AI27" i="2"/>
  <c r="E14" i="1"/>
  <c r="Q200" i="1"/>
  <c r="AF200" i="1"/>
  <c r="V200" i="1"/>
  <c r="AS200" i="1"/>
  <c r="BF200" i="1"/>
  <c r="AA200" i="1"/>
  <c r="BG200" i="1"/>
  <c r="AR200" i="1"/>
  <c r="AP200" i="1"/>
  <c r="BE200" i="1"/>
  <c r="AH200" i="1"/>
  <c r="AQ200" i="1"/>
  <c r="AJ200" i="1"/>
  <c r="AC200" i="1"/>
  <c r="BC200" i="1"/>
  <c r="AI200" i="1"/>
  <c r="Z200" i="1"/>
  <c r="AM200" i="1"/>
  <c r="W200" i="1"/>
  <c r="L200" i="1"/>
  <c r="AY200" i="1"/>
  <c r="AD200" i="1"/>
  <c r="AT200" i="1"/>
  <c r="AX200" i="1"/>
  <c r="AO200" i="1"/>
  <c r="M200" i="1"/>
  <c r="N200" i="1"/>
  <c r="O200" i="1"/>
  <c r="X200" i="1"/>
  <c r="U200" i="1"/>
  <c r="R200" i="1"/>
  <c r="AK200" i="1"/>
  <c r="AZ200" i="1"/>
  <c r="AL200" i="1"/>
  <c r="AV200" i="1"/>
  <c r="Y200" i="1"/>
  <c r="AW200" i="1"/>
  <c r="BB200" i="1"/>
  <c r="AN200" i="1"/>
  <c r="S200" i="1"/>
  <c r="E214" i="1"/>
  <c r="AI30" i="2"/>
  <c r="U150" i="1"/>
  <c r="AG150" i="1"/>
  <c r="R150" i="1"/>
  <c r="O150" i="1"/>
  <c r="N150" i="1"/>
  <c r="AU150" i="1"/>
  <c r="AW150" i="1"/>
  <c r="AE150" i="1"/>
  <c r="S150" i="1"/>
  <c r="AS150" i="1"/>
  <c r="BF150" i="1"/>
  <c r="AQ150" i="1"/>
  <c r="BA150" i="1"/>
  <c r="P150" i="1"/>
  <c r="BG150" i="1"/>
  <c r="AB150" i="1"/>
  <c r="AF150" i="1"/>
  <c r="Y150" i="1"/>
  <c r="AH150" i="1"/>
  <c r="M150" i="1"/>
  <c r="AY150" i="1"/>
  <c r="AZ150" i="1"/>
  <c r="AM150" i="1"/>
  <c r="AO150" i="1"/>
  <c r="BC150" i="1"/>
  <c r="BB150" i="1"/>
  <c r="BE150" i="1"/>
  <c r="AP150" i="1"/>
  <c r="L150" i="1"/>
  <c r="AI150" i="1"/>
  <c r="AT150" i="1"/>
  <c r="AL150" i="1"/>
  <c r="AX150" i="1"/>
  <c r="AN150" i="1"/>
  <c r="V150" i="1"/>
  <c r="BD150" i="1"/>
  <c r="W150" i="1"/>
  <c r="X150" i="1"/>
  <c r="AV150" i="1"/>
  <c r="AJ150" i="1"/>
  <c r="AR150" i="1"/>
  <c r="AA150" i="1"/>
  <c r="Q150" i="1"/>
  <c r="T150" i="1"/>
  <c r="AK150" i="1"/>
  <c r="AC150" i="1"/>
  <c r="Z150" i="1"/>
  <c r="AD150" i="1"/>
  <c r="AW175" i="1"/>
  <c r="AY175" i="1"/>
  <c r="Y175" i="1"/>
  <c r="BC175" i="1"/>
  <c r="AF175" i="1"/>
  <c r="BE175" i="1"/>
  <c r="AH175" i="1"/>
  <c r="AU175" i="1"/>
  <c r="O175" i="1"/>
  <c r="AQ175" i="1"/>
  <c r="AA175" i="1"/>
  <c r="M175" i="1"/>
  <c r="Q175" i="1"/>
  <c r="U175" i="1"/>
  <c r="AK175" i="1"/>
  <c r="L175" i="1"/>
  <c r="AJ175" i="1"/>
  <c r="R175" i="1"/>
  <c r="AT175" i="1"/>
  <c r="AX175" i="1"/>
  <c r="P175" i="1"/>
  <c r="T175" i="1"/>
  <c r="N175" i="1"/>
  <c r="AS175" i="1"/>
  <c r="AG175" i="1"/>
  <c r="AN175" i="1"/>
  <c r="Z175" i="1"/>
  <c r="V175" i="1"/>
  <c r="AO175" i="1"/>
  <c r="W175" i="1"/>
  <c r="AZ175" i="1"/>
  <c r="AP175" i="1"/>
  <c r="BB175" i="1"/>
  <c r="AC175" i="1"/>
  <c r="AV175" i="1"/>
  <c r="AM175" i="1"/>
  <c r="AL175" i="1"/>
  <c r="AD175" i="1"/>
  <c r="AI175" i="1"/>
  <c r="BD175" i="1"/>
  <c r="BA175" i="1"/>
  <c r="AB175" i="1"/>
  <c r="S175" i="1"/>
  <c r="X175" i="1"/>
  <c r="AR175" i="1"/>
  <c r="BG175" i="1"/>
  <c r="BF175" i="1"/>
  <c r="AD53" i="2"/>
  <c r="AI55" i="2"/>
  <c r="AD43" i="2"/>
  <c r="AD58" i="2"/>
  <c r="AI35" i="2"/>
  <c r="AD18" i="2"/>
  <c r="T200" i="1"/>
  <c r="E239" i="1"/>
  <c r="AB225" i="1"/>
  <c r="W25" i="1"/>
  <c r="M25" i="1"/>
  <c r="L25" i="1"/>
  <c r="Q25" i="1"/>
  <c r="S25" i="1"/>
  <c r="V25" i="1"/>
  <c r="X25" i="1"/>
  <c r="P25" i="1"/>
  <c r="E279" i="1"/>
  <c r="Y25" i="1"/>
  <c r="T25" i="1"/>
  <c r="R25" i="1"/>
  <c r="U25" i="1"/>
  <c r="N25" i="1"/>
  <c r="O25" i="1"/>
  <c r="AW225" i="1"/>
  <c r="AI51" i="2"/>
  <c r="AO225" i="1"/>
  <c r="J300" i="1" l="1"/>
  <c r="I300" i="1"/>
  <c r="L300" i="1"/>
  <c r="K300" i="1"/>
  <c r="H300" i="1"/>
  <c r="E164" i="1"/>
  <c r="AI39" i="2" s="1"/>
  <c r="AI45" i="2"/>
  <c r="AI56" i="2"/>
  <c r="AI42" i="2"/>
  <c r="AI64" i="2"/>
  <c r="AI49" i="2"/>
  <c r="AI46" i="2"/>
  <c r="AI53" i="2"/>
  <c r="AI59" i="2"/>
  <c r="AI65" i="2"/>
  <c r="AI66" i="2"/>
  <c r="AI50" i="2"/>
  <c r="AI63" i="2"/>
  <c r="AI61" i="2"/>
  <c r="AI60" i="2"/>
  <c r="AI67" i="2"/>
  <c r="AI41" i="2"/>
  <c r="AI62" i="2"/>
  <c r="AI54" i="2"/>
  <c r="AI58" i="2"/>
  <c r="AD38" i="2"/>
  <c r="AI34" i="2"/>
  <c r="AI36" i="2"/>
  <c r="AI38" i="2"/>
  <c r="AI40" i="2"/>
  <c r="AI33" i="2"/>
  <c r="AD13" i="2"/>
  <c r="AI11" i="2"/>
  <c r="AI26" i="2"/>
  <c r="AI13" i="2"/>
  <c r="AI9" i="2"/>
  <c r="AI14" i="2"/>
  <c r="AI10" i="2"/>
  <c r="AI12" i="2"/>
  <c r="AI16" i="2"/>
  <c r="BA65" i="1"/>
  <c r="AO65" i="1"/>
  <c r="BB65" i="1"/>
  <c r="BG65" i="1"/>
  <c r="AM65" i="1"/>
  <c r="AU65" i="1"/>
  <c r="V65" i="1"/>
  <c r="AG65" i="1"/>
  <c r="Q65" i="1"/>
  <c r="AW65" i="1"/>
  <c r="S65" i="1"/>
  <c r="O65" i="1"/>
  <c r="Z65" i="1"/>
  <c r="AJ65" i="1"/>
  <c r="AX65" i="1"/>
  <c r="R65" i="1"/>
  <c r="AF65" i="1"/>
  <c r="AI65" i="1"/>
  <c r="Y65" i="1"/>
  <c r="X65" i="1"/>
  <c r="L65" i="1"/>
  <c r="W65" i="1"/>
  <c r="AY65" i="1"/>
  <c r="BC65" i="1"/>
  <c r="BE65" i="1"/>
  <c r="AA65" i="1"/>
  <c r="AQ65" i="1"/>
  <c r="AT65" i="1"/>
  <c r="AC65" i="1"/>
  <c r="U65" i="1"/>
  <c r="AN65" i="1"/>
  <c r="AE65" i="1"/>
  <c r="BF65" i="1"/>
  <c r="AV65" i="1"/>
  <c r="AZ65" i="1"/>
  <c r="AP65" i="1"/>
  <c r="M65" i="1"/>
  <c r="AR65" i="1"/>
  <c r="N65" i="1"/>
  <c r="AL65" i="1"/>
  <c r="AD65" i="1"/>
  <c r="P65" i="1"/>
  <c r="AS65" i="1"/>
  <c r="AK65" i="1"/>
  <c r="AH65" i="1"/>
  <c r="BD65" i="1"/>
  <c r="AB65" i="1"/>
  <c r="T65" i="1"/>
  <c r="AX190" i="1"/>
  <c r="AA190" i="1"/>
  <c r="L190" i="1"/>
  <c r="N190" i="1"/>
  <c r="BB190" i="1"/>
  <c r="R190" i="1"/>
  <c r="BD190" i="1"/>
  <c r="Y190" i="1"/>
  <c r="AT190" i="1"/>
  <c r="T190" i="1"/>
  <c r="AN190" i="1"/>
  <c r="AK190" i="1"/>
  <c r="U190" i="1"/>
  <c r="AH190" i="1"/>
  <c r="AM190" i="1"/>
  <c r="AR190" i="1"/>
  <c r="AU190" i="1"/>
  <c r="Z190" i="1"/>
  <c r="AQ190" i="1"/>
  <c r="V190" i="1"/>
  <c r="AI190" i="1"/>
  <c r="AS190" i="1"/>
  <c r="AD190" i="1"/>
  <c r="Q190" i="1"/>
  <c r="BF190" i="1"/>
  <c r="AJ190" i="1"/>
  <c r="S190" i="1"/>
  <c r="AL190" i="1"/>
  <c r="AG190" i="1"/>
  <c r="BA190" i="1"/>
  <c r="AY190" i="1"/>
  <c r="AV190" i="1"/>
  <c r="BC190" i="1"/>
  <c r="AC190" i="1"/>
  <c r="X190" i="1"/>
  <c r="AW190" i="1"/>
  <c r="AF190" i="1"/>
  <c r="AB190" i="1"/>
  <c r="W190" i="1"/>
  <c r="AZ190" i="1"/>
  <c r="M190" i="1"/>
  <c r="AO190" i="1"/>
  <c r="BG190" i="1"/>
  <c r="BE190" i="1"/>
  <c r="AP190" i="1"/>
  <c r="P190" i="1"/>
  <c r="O190" i="1"/>
  <c r="Z165" i="1"/>
  <c r="AU165" i="1"/>
  <c r="AZ165" i="1"/>
  <c r="BA165" i="1"/>
  <c r="W165" i="1"/>
  <c r="AO165" i="1"/>
  <c r="BF165" i="1"/>
  <c r="AJ165" i="1"/>
  <c r="U165" i="1"/>
  <c r="AR165" i="1"/>
  <c r="R165" i="1"/>
  <c r="AH165" i="1"/>
  <c r="AB165" i="1"/>
  <c r="AW165" i="1"/>
  <c r="AC165" i="1"/>
  <c r="M165" i="1"/>
  <c r="AG165" i="1"/>
  <c r="AV165" i="1"/>
  <c r="X165" i="1"/>
  <c r="S165" i="1"/>
  <c r="AA165" i="1"/>
  <c r="T165" i="1"/>
  <c r="AL165" i="1"/>
  <c r="AI165" i="1"/>
  <c r="AN165" i="1"/>
  <c r="BE165" i="1"/>
  <c r="P165" i="1"/>
  <c r="O165" i="1"/>
  <c r="AT165" i="1"/>
  <c r="AK165" i="1"/>
  <c r="BG165" i="1"/>
  <c r="BC165" i="1"/>
  <c r="AX165" i="1"/>
  <c r="AP165" i="1"/>
  <c r="AY165" i="1"/>
  <c r="AS165" i="1"/>
  <c r="Q165" i="1"/>
  <c r="BD165" i="1"/>
  <c r="L165" i="1"/>
  <c r="AQ165" i="1"/>
  <c r="BB165" i="1"/>
  <c r="V165" i="1"/>
  <c r="N165" i="1"/>
  <c r="AN215" i="1" s="1"/>
  <c r="Y165" i="1"/>
  <c r="AM165" i="1"/>
  <c r="AD57" i="2"/>
  <c r="AI18" i="2"/>
  <c r="T70" i="1"/>
  <c r="AE70" i="1"/>
  <c r="O70" i="1"/>
  <c r="X70" i="1"/>
  <c r="AW70" i="1"/>
  <c r="AG70" i="1"/>
  <c r="L70" i="1"/>
  <c r="Z70" i="1"/>
  <c r="AD70" i="1"/>
  <c r="AB70" i="1"/>
  <c r="R70" i="1"/>
  <c r="AF70" i="1"/>
  <c r="BD70" i="1"/>
  <c r="S70" i="1"/>
  <c r="AV70" i="1"/>
  <c r="AJ70" i="1"/>
  <c r="AR70" i="1"/>
  <c r="AS70" i="1"/>
  <c r="M70" i="1"/>
  <c r="BA70" i="1"/>
  <c r="BE70" i="1"/>
  <c r="AH70" i="1"/>
  <c r="Q70" i="1"/>
  <c r="AU70" i="1"/>
  <c r="U70" i="1"/>
  <c r="V70" i="1"/>
  <c r="AZ70" i="1"/>
  <c r="W70" i="1"/>
  <c r="AA70" i="1"/>
  <c r="AK70" i="1"/>
  <c r="BC70" i="1"/>
  <c r="P70" i="1"/>
  <c r="AP70" i="1"/>
  <c r="AI70" i="1"/>
  <c r="AO70" i="1"/>
  <c r="BF70" i="1"/>
  <c r="AQ70" i="1"/>
  <c r="AN70" i="1"/>
  <c r="BB70" i="1"/>
  <c r="BG70" i="1"/>
  <c r="AT70" i="1"/>
  <c r="N70" i="1"/>
  <c r="AM70" i="1"/>
  <c r="AL70" i="1"/>
  <c r="AX70" i="1"/>
  <c r="AY70" i="1"/>
  <c r="AC70" i="1"/>
  <c r="Y70" i="1"/>
  <c r="BA200" i="1"/>
  <c r="AB200" i="1"/>
  <c r="P200" i="1"/>
  <c r="AG200" i="1"/>
  <c r="BD200" i="1"/>
  <c r="AD32" i="2"/>
  <c r="AV225" i="1"/>
  <c r="AA225" i="1"/>
  <c r="BA225" i="1"/>
  <c r="AI22" i="2"/>
  <c r="O265" i="1"/>
  <c r="AX265" i="1"/>
  <c r="AG265" i="1"/>
  <c r="BB265" i="1"/>
  <c r="AD12" i="2" l="1"/>
  <c r="AD17" i="2"/>
  <c r="AD215" i="1"/>
  <c r="U215" i="1"/>
  <c r="W215" i="1"/>
  <c r="X215" i="1"/>
  <c r="BA215" i="1"/>
  <c r="Z215" i="1"/>
  <c r="AM215" i="1"/>
  <c r="AK215" i="1"/>
  <c r="T215" i="1"/>
  <c r="BF215" i="1"/>
  <c r="L215" i="1"/>
  <c r="AQ215" i="1"/>
  <c r="S215" i="1"/>
  <c r="R215" i="1"/>
  <c r="AV215" i="1"/>
  <c r="AO215" i="1"/>
  <c r="BD215" i="1"/>
  <c r="BE215" i="1"/>
  <c r="AD22" i="2"/>
  <c r="Y215" i="1"/>
  <c r="AX215" i="1"/>
  <c r="AP215" i="1"/>
  <c r="O215" i="1"/>
  <c r="AF215" i="1"/>
  <c r="P215" i="1"/>
  <c r="M215" i="1"/>
  <c r="AU215" i="1"/>
  <c r="AD47" i="2"/>
  <c r="V215" i="1"/>
  <c r="BB215" i="1"/>
  <c r="AL215" i="1"/>
  <c r="AB215" i="1"/>
  <c r="AZ215" i="1"/>
  <c r="N215" i="1"/>
  <c r="AR215" i="1"/>
  <c r="AW215" i="1"/>
  <c r="AS215" i="1"/>
  <c r="W95" i="1"/>
  <c r="Q90" i="1"/>
  <c r="W90" i="1"/>
  <c r="BA90" i="1"/>
  <c r="BD90" i="1"/>
  <c r="AO90" i="1"/>
  <c r="AY90" i="1"/>
  <c r="AD90" i="1"/>
  <c r="AW90" i="1"/>
  <c r="AI90" i="1"/>
  <c r="P90" i="1"/>
  <c r="AM90" i="1"/>
  <c r="BC90" i="1"/>
  <c r="T90" i="1"/>
  <c r="V90" i="1"/>
  <c r="U90" i="1"/>
  <c r="AX90" i="1"/>
  <c r="BB90" i="1"/>
  <c r="AQ90" i="1"/>
  <c r="BF90" i="1"/>
  <c r="O90" i="1"/>
  <c r="Z90" i="1"/>
  <c r="S90" i="1"/>
  <c r="AV90" i="1"/>
  <c r="AF90" i="1"/>
  <c r="X90" i="1"/>
  <c r="AA90" i="1"/>
  <c r="AZ90" i="1"/>
  <c r="AB90" i="1"/>
  <c r="AE90" i="1"/>
  <c r="AT90" i="1"/>
  <c r="AC90" i="1"/>
  <c r="AR90" i="1"/>
  <c r="BG90" i="1"/>
  <c r="AU90" i="1"/>
  <c r="BE90" i="1"/>
  <c r="AL90" i="1"/>
  <c r="AJ90" i="1"/>
  <c r="N90" i="1"/>
  <c r="R90" i="1"/>
  <c r="M90" i="1"/>
  <c r="AK90" i="1"/>
  <c r="AS90" i="1"/>
  <c r="AG90" i="1"/>
  <c r="Y90" i="1"/>
  <c r="AN90" i="1"/>
  <c r="AP90" i="1"/>
  <c r="AH90" i="1"/>
  <c r="AY215" i="1"/>
  <c r="AH215" i="1"/>
  <c r="BC215" i="1"/>
  <c r="AC215" i="1"/>
  <c r="AI215" i="1"/>
  <c r="AA215" i="1"/>
  <c r="AT215" i="1"/>
  <c r="Q215" i="1"/>
  <c r="AG215" i="1"/>
  <c r="AJ215" i="1"/>
  <c r="BG215" i="1"/>
  <c r="AD62" i="2"/>
  <c r="AU200" i="1"/>
  <c r="BG265" i="1"/>
  <c r="AK265" i="1"/>
  <c r="AS265" i="1"/>
  <c r="AA265" i="1"/>
  <c r="AF265" i="1"/>
  <c r="AW265" i="1"/>
  <c r="AU265" i="1"/>
  <c r="AV265" i="1"/>
  <c r="X265" i="1"/>
  <c r="M265" i="1"/>
  <c r="AL265" i="1"/>
  <c r="P265" i="1"/>
  <c r="AO265" i="1"/>
  <c r="S265" i="1"/>
  <c r="AT265" i="1"/>
  <c r="Q265" i="1"/>
  <c r="BC265" i="1"/>
  <c r="Y265" i="1"/>
  <c r="BD265" i="1"/>
  <c r="AH265" i="1"/>
  <c r="U265" i="1"/>
  <c r="AM265" i="1"/>
  <c r="AQ265" i="1"/>
  <c r="AY265" i="1"/>
  <c r="T265" i="1"/>
  <c r="L265" i="1"/>
  <c r="AR265" i="1"/>
  <c r="AD265" i="1"/>
  <c r="AI265" i="1"/>
  <c r="BF265" i="1"/>
  <c r="AN265" i="1"/>
  <c r="V265" i="1"/>
  <c r="AB265" i="1"/>
  <c r="AE265" i="1"/>
  <c r="AZ265" i="1"/>
  <c r="R265" i="1"/>
  <c r="BE265" i="1"/>
  <c r="Z265" i="1"/>
  <c r="AC265" i="1"/>
  <c r="N265" i="1"/>
  <c r="AJ265" i="1"/>
  <c r="BA265" i="1"/>
  <c r="AP265" i="1"/>
  <c r="W265" i="1"/>
  <c r="AE95" i="1" l="1"/>
  <c r="AL95" i="1"/>
  <c r="AN95" i="1"/>
  <c r="N95" i="1"/>
  <c r="Z95" i="1"/>
  <c r="AG95" i="1"/>
  <c r="V95" i="1"/>
  <c r="AF95" i="1"/>
  <c r="AC95" i="1"/>
  <c r="AO95" i="1"/>
  <c r="AU95" i="1"/>
  <c r="Y95" i="1"/>
  <c r="AQ95" i="1"/>
  <c r="L95" i="1"/>
  <c r="AM95" i="1"/>
  <c r="BE95" i="1"/>
  <c r="R95" i="1"/>
  <c r="BF95" i="1"/>
  <c r="BA95" i="1"/>
  <c r="AV95" i="1"/>
  <c r="BC95" i="1"/>
  <c r="AS95" i="1"/>
  <c r="AY95" i="1"/>
  <c r="X95" i="1"/>
  <c r="AZ95" i="1"/>
  <c r="AP95" i="1"/>
  <c r="P95" i="1"/>
  <c r="AH95" i="1"/>
  <c r="S95" i="1"/>
  <c r="M95" i="1"/>
  <c r="BG95" i="1"/>
  <c r="AI95" i="1"/>
  <c r="AX95" i="1"/>
  <c r="AR95" i="1"/>
  <c r="AW95" i="1"/>
  <c r="BD95" i="1"/>
  <c r="AJ95" i="1"/>
  <c r="AK95" i="1"/>
  <c r="Q95" i="1"/>
  <c r="BB95" i="1"/>
  <c r="O95" i="1"/>
  <c r="U95" i="1"/>
  <c r="AT95" i="1"/>
  <c r="AB95" i="1"/>
  <c r="AA95" i="1"/>
  <c r="T95" i="1"/>
  <c r="R115" i="1"/>
  <c r="AS115" i="1"/>
  <c r="L115" i="1"/>
  <c r="AU115" i="1"/>
  <c r="AT115" i="1"/>
  <c r="AK115" i="1"/>
  <c r="BA115" i="1"/>
  <c r="AA115" i="1"/>
  <c r="N115" i="1"/>
  <c r="AV115" i="1"/>
  <c r="AN115" i="1"/>
  <c r="P115" i="1"/>
  <c r="BF115" i="1"/>
  <c r="BD115" i="1"/>
  <c r="AR115" i="1"/>
  <c r="Y115" i="1"/>
  <c r="AD115" i="1"/>
  <c r="AH115" i="1"/>
  <c r="AW115" i="1"/>
  <c r="BE115" i="1"/>
  <c r="BB115" i="1"/>
  <c r="AM115" i="1"/>
  <c r="AL115" i="1"/>
  <c r="AY115" i="1"/>
  <c r="AX115" i="1"/>
  <c r="AF115" i="1"/>
  <c r="BG115" i="1"/>
  <c r="V115" i="1"/>
  <c r="AJ115" i="1"/>
  <c r="O115" i="1"/>
  <c r="BC115" i="1"/>
  <c r="AP115" i="1"/>
  <c r="M115" i="1"/>
  <c r="AO115" i="1"/>
  <c r="AC115" i="1"/>
  <c r="T115" i="1"/>
  <c r="S115" i="1"/>
  <c r="AZ115" i="1"/>
  <c r="AQ115" i="1"/>
  <c r="AB115" i="1"/>
  <c r="AE115" i="1"/>
  <c r="Z115" i="1"/>
  <c r="W115" i="1"/>
  <c r="Q115" i="1"/>
  <c r="X115" i="1"/>
  <c r="AI115" i="1"/>
  <c r="AG115" i="1"/>
  <c r="U115" i="1"/>
  <c r="AD66" i="2"/>
  <c r="AD42" i="2" l="1"/>
  <c r="AD37" i="2" l="1"/>
  <c r="U290" i="1"/>
  <c r="AP290" i="1"/>
  <c r="BD290" i="1"/>
  <c r="AY290" i="1" l="1"/>
  <c r="AE290" i="1"/>
  <c r="AB290" i="1"/>
  <c r="T290" i="1"/>
  <c r="AJ290" i="1"/>
  <c r="AR290" i="1"/>
  <c r="AM290" i="1"/>
  <c r="AI290" i="1"/>
  <c r="BF290" i="1"/>
  <c r="AT290" i="1"/>
  <c r="AZ290" i="1"/>
  <c r="R290" i="1"/>
  <c r="BC290" i="1"/>
  <c r="AO290" i="1"/>
  <c r="AL290" i="1"/>
  <c r="AW290" i="1"/>
  <c r="N290" i="1"/>
  <c r="AA290" i="1"/>
  <c r="AV290" i="1"/>
  <c r="Q290" i="1"/>
  <c r="Y290" i="1"/>
  <c r="S290" i="1"/>
  <c r="BG290" i="1"/>
  <c r="AC290" i="1"/>
  <c r="X290" i="1"/>
  <c r="AF290" i="1"/>
  <c r="AD290" i="1"/>
  <c r="AG290" i="1"/>
  <c r="P290" i="1"/>
  <c r="AK290" i="1"/>
  <c r="Z290" i="1"/>
  <c r="AN290" i="1"/>
  <c r="AH290" i="1"/>
  <c r="AU290" i="1"/>
  <c r="O290" i="1"/>
  <c r="W290" i="1"/>
  <c r="AS290" i="1"/>
  <c r="AQ290" i="1"/>
  <c r="V290" i="1"/>
  <c r="BA290" i="1"/>
  <c r="BB290" i="1"/>
  <c r="AX290" i="1"/>
  <c r="BE290" i="1"/>
  <c r="Q300" i="1" l="1"/>
  <c r="O300" i="1" l="1"/>
  <c r="S300" i="1"/>
  <c r="R300" i="1"/>
  <c r="P300" i="1"/>
  <c r="M300" i="1"/>
  <c r="T300" i="1"/>
  <c r="N300" i="1"/>
  <c r="E129" i="1"/>
  <c r="AI3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FCC8E99-9EC7-4BA1-9053-FD510B954362}" keepAlive="1" name="Query - People" description="Connection to the 'People' query in the workbook." type="5" refreshedVersion="0" background="1" saveData="1">
    <dbPr connection="Provider=Microsoft.Mashup.OleDb.1;Data Source=$Workbook$;Location=People;Extended Properties=&quot;&quot;" command="SELECT * FROM [People]"/>
  </connection>
</connections>
</file>

<file path=xl/sharedStrings.xml><?xml version="1.0" encoding="utf-8"?>
<sst xmlns="http://schemas.openxmlformats.org/spreadsheetml/2006/main" count="1340" uniqueCount="298">
  <si>
    <t>Pos.</t>
  </si>
  <si>
    <t>Projekt</t>
  </si>
  <si>
    <t>BR</t>
  </si>
  <si>
    <t>T5</t>
  </si>
  <si>
    <t>SNR</t>
  </si>
  <si>
    <t>Bezeichnung</t>
  </si>
  <si>
    <t>LTM ID</t>
  </si>
  <si>
    <t>Z-Bereich</t>
  </si>
  <si>
    <t>Quelle</t>
  </si>
  <si>
    <t>BT-Lieferant</t>
  </si>
  <si>
    <t>automatisiert/
manuell</t>
  </si>
  <si>
    <t>Senke</t>
  </si>
  <si>
    <t>Füllmenge</t>
  </si>
  <si>
    <t>SGS</t>
  </si>
  <si>
    <t>BANF-Nr.</t>
  </si>
  <si>
    <t>Bestell-Nr.</t>
  </si>
  <si>
    <t>Paket</t>
  </si>
  <si>
    <t>Bestellmenge</t>
  </si>
  <si>
    <t>LT-Lieferant</t>
  </si>
  <si>
    <t>Planer</t>
  </si>
  <si>
    <t>MB.EA-M</t>
  </si>
  <si>
    <t>X540</t>
  </si>
  <si>
    <t>T524571</t>
  </si>
  <si>
    <t>A5406100000</t>
  </si>
  <si>
    <t>ZB HAUPTBODEN VST</t>
  </si>
  <si>
    <t>Z1</t>
  </si>
  <si>
    <t>Kaufteil</t>
  </si>
  <si>
    <t>MA Automotive Deutschland GmbH Werk Achim</t>
  </si>
  <si>
    <t>Automatisiert</t>
  </si>
  <si>
    <t>RB</t>
  </si>
  <si>
    <t>HD011</t>
  </si>
  <si>
    <t>mts Maschinenbau GmbH</t>
  </si>
  <si>
    <t>Kai Sander</t>
  </si>
  <si>
    <t>T524573</t>
  </si>
  <si>
    <t>A5406102100</t>
  </si>
  <si>
    <t>ZB LAENGSTRAEGER UT IN SEITL LI HPT.BODEN</t>
  </si>
  <si>
    <t>Kauth Finnentrop GmbH &amp; Co.KG</t>
  </si>
  <si>
    <t>Platinen-GR</t>
  </si>
  <si>
    <t>JH95</t>
  </si>
  <si>
    <t>T524574</t>
  </si>
  <si>
    <t>A5406102200</t>
  </si>
  <si>
    <t>ZB LAENGSTRAEGER UT IN SEITL RE HPT.BODEN</t>
  </si>
  <si>
    <t>T524575</t>
  </si>
  <si>
    <t>A5406104500</t>
  </si>
  <si>
    <t>ZB LAENGSTRAEGER MI LI</t>
  </si>
  <si>
    <t>Magna BDW technologies GmbH c/o Galvano Weis GmbH &amp; Co. KG</t>
  </si>
  <si>
    <t>Konventionell</t>
  </si>
  <si>
    <t>Schneider Transport- und Lagerbehälter GmbH &amp; Co. KG</t>
  </si>
  <si>
    <t>T524576</t>
  </si>
  <si>
    <t>A5406104600</t>
  </si>
  <si>
    <t>ZB LAENGSTRAEGER MI RE</t>
  </si>
  <si>
    <t>X540/W520</t>
  </si>
  <si>
    <t>T524578</t>
  </si>
  <si>
    <t>A5406105700</t>
  </si>
  <si>
    <t>ZB QUERTRAEGER FO-SITZ VST</t>
  </si>
  <si>
    <t>GEDIA Poland Sp.z.o.o.</t>
  </si>
  <si>
    <t>S011</t>
  </si>
  <si>
    <t>Josta Engineering und Vertriebs GmbH</t>
  </si>
  <si>
    <t>T524579</t>
  </si>
  <si>
    <t>A5406107700</t>
  </si>
  <si>
    <t>ZB BODEN UNTER FONDSITZ VST</t>
  </si>
  <si>
    <t>KIRCHHOFF Hungaria Kft</t>
  </si>
  <si>
    <t>T524569</t>
  </si>
  <si>
    <t>A5406108500</t>
  </si>
  <si>
    <t>ZB BODEN UEBER HINTERACHSE VST</t>
  </si>
  <si>
    <t>T524586</t>
  </si>
  <si>
    <t>A5406103100</t>
  </si>
  <si>
    <t>ZB Heckboden VST</t>
  </si>
  <si>
    <t>RB Intern</t>
  </si>
  <si>
    <t>CKD</t>
  </si>
  <si>
    <t>T524587</t>
  </si>
  <si>
    <t>A5406106000</t>
  </si>
  <si>
    <t>ZB LADERAUMMULDE</t>
  </si>
  <si>
    <t>Kirchhoff Witte GmbH</t>
  </si>
  <si>
    <t>T524581</t>
  </si>
  <si>
    <t>A5406181300</t>
  </si>
  <si>
    <t>RADEINBAU LI</t>
  </si>
  <si>
    <t>PW 067</t>
  </si>
  <si>
    <t>Top-Metal</t>
  </si>
  <si>
    <t>Manuell</t>
  </si>
  <si>
    <t>T524582</t>
  </si>
  <si>
    <t>A5406181400</t>
  </si>
  <si>
    <t>RADEINBAU RE</t>
  </si>
  <si>
    <t>T524589</t>
  </si>
  <si>
    <t>A5406207101</t>
  </si>
  <si>
    <t>ZB STIRNWAND VST LL / RL</t>
  </si>
  <si>
    <t>Magna Hungary</t>
  </si>
  <si>
    <t>Weidner GmbH</t>
  </si>
  <si>
    <t>T524588</t>
  </si>
  <si>
    <t>A5406207100</t>
  </si>
  <si>
    <t>ZB QUERTRAEGER VST STIRNWAND LL</t>
  </si>
  <si>
    <t>T524599</t>
  </si>
  <si>
    <t>A5406209400</t>
  </si>
  <si>
    <t>ZB QUERTRAEGER HI UT STIRNWAND</t>
  </si>
  <si>
    <t>T524583</t>
  </si>
  <si>
    <t>A5406208700</t>
  </si>
  <si>
    <t>ZB LAENGSTRAEGER VST LI</t>
  </si>
  <si>
    <t>T524584</t>
  </si>
  <si>
    <t>A5406208800</t>
  </si>
  <si>
    <t>ZB LAENGSTRAEGER VST RE</t>
  </si>
  <si>
    <t>T524609</t>
  </si>
  <si>
    <t>A5406206900</t>
  </si>
  <si>
    <t>ZB QUERTRAEGER WSS</t>
  </si>
  <si>
    <t>Z2</t>
  </si>
  <si>
    <t>Frank Schmuck</t>
  </si>
  <si>
    <t>T524611</t>
  </si>
  <si>
    <t>A5406400600</t>
  </si>
  <si>
    <t xml:space="preserve">ZB HECKMITTELSTUECK VST UT </t>
  </si>
  <si>
    <t>13</t>
  </si>
  <si>
    <t>T524591</t>
  </si>
  <si>
    <t>A5406308700</t>
  </si>
  <si>
    <t>ZB VERSTAERKUNG LAENGSTRAEGER VST LI</t>
  </si>
  <si>
    <t>WB28</t>
  </si>
  <si>
    <t>T524592</t>
  </si>
  <si>
    <t>A5406308800</t>
  </si>
  <si>
    <t>ZB VERSTAERKUNG LAENGSTRAEGER VST RE</t>
  </si>
  <si>
    <t>T524593</t>
  </si>
  <si>
    <t>A5406302100</t>
  </si>
  <si>
    <t>ZB LAENGSTRAEGER VST AU LI</t>
  </si>
  <si>
    <t>LINDE+WIEMANN Deutschland SE Werk Bremen</t>
  </si>
  <si>
    <t>T524594</t>
  </si>
  <si>
    <t>A5406302200</t>
  </si>
  <si>
    <t>ZB LAENGSTRAEGER VST AU RE</t>
  </si>
  <si>
    <t>T524595</t>
  </si>
  <si>
    <t>A5406301700</t>
  </si>
  <si>
    <t>ZB B-SAEULE VST LI</t>
  </si>
  <si>
    <t>T524596</t>
  </si>
  <si>
    <t>A5406301800</t>
  </si>
  <si>
    <t>ZB B-SAEULE VST RE</t>
  </si>
  <si>
    <t>T524597</t>
  </si>
  <si>
    <t>A5406306900</t>
  </si>
  <si>
    <t>ZB SEITENWAND VST HI IN LI</t>
  </si>
  <si>
    <t>Wagon Automotive Bremen GmbH</t>
  </si>
  <si>
    <t>T524598</t>
  </si>
  <si>
    <t>A5406307000</t>
  </si>
  <si>
    <t>ZB SEITENWAND VST HI IN RE</t>
  </si>
  <si>
    <t>T524612</t>
  </si>
  <si>
    <t>A5406377500</t>
  </si>
  <si>
    <t>BEPLANKUNG SW AU LI/RE</t>
  </si>
  <si>
    <t>T524603</t>
  </si>
  <si>
    <t>A5406307700</t>
  </si>
  <si>
    <t>ZB SEITENWAND IN UT LI</t>
  </si>
  <si>
    <t>T524604</t>
  </si>
  <si>
    <t>A5406307800</t>
  </si>
  <si>
    <t>ZB SEITENWAND IN UT RE</t>
  </si>
  <si>
    <t>T524607</t>
  </si>
  <si>
    <t>A5406301301</t>
  </si>
  <si>
    <t>ZB VERSTAERKUNG LAENGSTRAEGER LI</t>
  </si>
  <si>
    <t>Hydro Extrusion Denmark A/S</t>
  </si>
  <si>
    <t>T524608</t>
  </si>
  <si>
    <t>A5406301401</t>
  </si>
  <si>
    <t>ZB VERSTAERKUNG LAENGSTRAEGER RE</t>
  </si>
  <si>
    <t>T524895</t>
  </si>
  <si>
    <t>A5407200300</t>
  </si>
  <si>
    <t>ZB FAHRERTUER LI</t>
  </si>
  <si>
    <t>Z3</t>
  </si>
  <si>
    <t>David Wentland</t>
  </si>
  <si>
    <t>T524896</t>
  </si>
  <si>
    <t>A5407200400</t>
  </si>
  <si>
    <t>ZB FAHRERTUER RE</t>
  </si>
  <si>
    <t>T524897</t>
  </si>
  <si>
    <t>A5407300300</t>
  </si>
  <si>
    <t>ZB FONDTUER LI</t>
  </si>
  <si>
    <t>T524898</t>
  </si>
  <si>
    <t>A5407300400</t>
  </si>
  <si>
    <t>ZB FONDTUER RE</t>
  </si>
  <si>
    <t>T524613</t>
  </si>
  <si>
    <t>A5407220100</t>
  </si>
  <si>
    <t xml:space="preserve"> BEPLANKUNG FAHRERTUER LI</t>
  </si>
  <si>
    <t>T524614</t>
  </si>
  <si>
    <t>A5407220200</t>
  </si>
  <si>
    <t xml:space="preserve"> BEPLANKUNG FAHRERTUER RE</t>
  </si>
  <si>
    <t>T524623</t>
  </si>
  <si>
    <t>A5407320100</t>
  </si>
  <si>
    <t xml:space="preserve"> BEPLANKUNG FONDTUER LI</t>
  </si>
  <si>
    <t>T524624</t>
  </si>
  <si>
    <t>A5407320200</t>
  </si>
  <si>
    <t xml:space="preserve"> BEPLANKUNG FONDTUER RE</t>
  </si>
  <si>
    <t>T524615</t>
  </si>
  <si>
    <t>A5407220300</t>
  </si>
  <si>
    <t>INNENTEIL FAHRERTUER LI</t>
  </si>
  <si>
    <t>T524616</t>
  </si>
  <si>
    <t>A5407220400</t>
  </si>
  <si>
    <t>INNENTEIL FAHRERTUER RE</t>
  </si>
  <si>
    <t>T524625</t>
  </si>
  <si>
    <t>A5407320300</t>
  </si>
  <si>
    <t>INNENTEIL FONDTUER LI</t>
  </si>
  <si>
    <t>T524626</t>
  </si>
  <si>
    <t>A5407320400</t>
  </si>
  <si>
    <t>INNENTEIL FONDTUER RE</t>
  </si>
  <si>
    <t>T524635</t>
  </si>
  <si>
    <t>A5408800100</t>
  </si>
  <si>
    <t>ZB KOTFLUEGEL VO LI</t>
  </si>
  <si>
    <t>Miron Klöster</t>
  </si>
  <si>
    <t>T524636</t>
  </si>
  <si>
    <t>A5408800200</t>
  </si>
  <si>
    <t>ZB KOTFLUEGEL VO RE</t>
  </si>
  <si>
    <t>T524637</t>
  </si>
  <si>
    <t>A5408810100</t>
  </si>
  <si>
    <t>BEPLANKUNG KOTFLUEGEL VO LI</t>
  </si>
  <si>
    <t>T524638</t>
  </si>
  <si>
    <t>A5408810200</t>
  </si>
  <si>
    <t>BEPLANKUNG KOTFLUEGEL VO RE</t>
  </si>
  <si>
    <t>T524641</t>
  </si>
  <si>
    <t>A5407221500</t>
  </si>
  <si>
    <t>TUERRAHMEN LI</t>
  </si>
  <si>
    <t>Nouva-Stame</t>
  </si>
  <si>
    <t>S001</t>
  </si>
  <si>
    <t>T524642</t>
  </si>
  <si>
    <t>A5407221600</t>
  </si>
  <si>
    <t>TUERRAHMEN RE</t>
  </si>
  <si>
    <t>T524643</t>
  </si>
  <si>
    <t>A5407321500</t>
  </si>
  <si>
    <t>FENSTERRAHMEN FOT LI</t>
  </si>
  <si>
    <t>T524644</t>
  </si>
  <si>
    <t>A5407321600</t>
  </si>
  <si>
    <t>FENSTERRAHMEN FOT RE</t>
  </si>
  <si>
    <t>T524655</t>
  </si>
  <si>
    <t>A5408870000</t>
  </si>
  <si>
    <t>BEPLANKUNG MOTORHAUBE</t>
  </si>
  <si>
    <t>T524656</t>
  </si>
  <si>
    <t>A5408870100</t>
  </si>
  <si>
    <t>INNENTEIL MOTORHAUBE</t>
  </si>
  <si>
    <t>T524657</t>
  </si>
  <si>
    <t>A5408800000</t>
  </si>
  <si>
    <t>ZB MOTORHAUBE</t>
  </si>
  <si>
    <t>T524659</t>
  </si>
  <si>
    <t>A5407420200</t>
  </si>
  <si>
    <t>BEPLANKUNG RUECKWANDTUER UT</t>
  </si>
  <si>
    <t>T524662</t>
  </si>
  <si>
    <t>A5407400500</t>
  </si>
  <si>
    <t>ZB RUECKWANDTUER</t>
  </si>
  <si>
    <t>T524661</t>
  </si>
  <si>
    <t>A5407420400</t>
  </si>
  <si>
    <t>INNENTEIL RUECKWANDTUER</t>
  </si>
  <si>
    <t>T524658</t>
  </si>
  <si>
    <t>A5407420000</t>
  </si>
  <si>
    <t>BEPLANKUNG RUECKWANDTUER OB</t>
  </si>
  <si>
    <t>automatisiert/
manuell2</t>
  </si>
  <si>
    <t xml:space="preserve">Verzug ja/nein </t>
  </si>
  <si>
    <t>abge-schlos-sen</t>
  </si>
  <si>
    <t>Ist</t>
  </si>
  <si>
    <t>Prozess (in %)</t>
  </si>
  <si>
    <t>Soll absprache</t>
  </si>
  <si>
    <t>Soll Bestellmenge</t>
  </si>
  <si>
    <t>Delivery planning 2024</t>
  </si>
  <si>
    <t>Stand:</t>
  </si>
  <si>
    <t>KW</t>
  </si>
  <si>
    <t>Jahr</t>
  </si>
  <si>
    <t>Soll</t>
  </si>
  <si>
    <t>T5_</t>
  </si>
  <si>
    <t>L</t>
  </si>
  <si>
    <t>B</t>
  </si>
  <si>
    <t>H</t>
  </si>
  <si>
    <t>NOTE</t>
  </si>
  <si>
    <t>s</t>
  </si>
  <si>
    <t>Absolute Soll/ist</t>
  </si>
  <si>
    <t>Soll/ist</t>
  </si>
  <si>
    <t>Ist (Absolute )</t>
  </si>
  <si>
    <t>Email</t>
  </si>
  <si>
    <t>Absolut_verspätung (Woche)</t>
  </si>
  <si>
    <t>Soll_ab</t>
  </si>
  <si>
    <t>Offen</t>
  </si>
  <si>
    <t>Month</t>
  </si>
  <si>
    <t>Gant_Chart</t>
  </si>
  <si>
    <t>GO to Delievry_plan_24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</si>
  <si>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</si>
  <si>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</si>
  <si>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</si>
  <si>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</si>
  <si>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</si>
  <si>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</si>
  <si>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</si>
  <si>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</si>
  <si>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</si>
  <si>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</si>
  <si>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</si>
  <si>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</si>
  <si>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Verspätung</t>
  </si>
  <si>
    <t>Power BI</t>
  </si>
  <si>
    <t>Lieferplan_2024_Powerbi.pbix</t>
  </si>
  <si>
    <t>wenn Die Formel ist über die Bedingung oder ungültig. =    " N/A"</t>
  </si>
  <si>
    <t>Alle Bestellungen geliefert               Verzögerung</t>
  </si>
  <si>
    <t xml:space="preserve">Noch nicht vollständig geliefert </t>
  </si>
  <si>
    <t>Gehe zum Gant_24</t>
  </si>
  <si>
    <t>Umbau</t>
  </si>
  <si>
    <t>Reklamation</t>
  </si>
  <si>
    <t>Muster/Umbau/Reklamation</t>
  </si>
  <si>
    <t>Factor</t>
  </si>
  <si>
    <t>Muster</t>
  </si>
  <si>
    <t>How many days</t>
  </si>
  <si>
    <t>Volumn*Menge</t>
  </si>
  <si>
    <t>ß</t>
  </si>
  <si>
    <t>jethavaromil@gmail.com</t>
  </si>
  <si>
    <t>romiljethava09@gmail.com</t>
  </si>
  <si>
    <t>jethavaromil1609@gmail.com</t>
  </si>
  <si>
    <t>jethavaromil160996@gmail.com</t>
  </si>
  <si>
    <t>brijaltamakuwala1504@gmail.com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</si>
</sst>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2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2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20"/>
      <color theme="0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22"/>
      <name val="Calibri"/>
      <family val="2"/>
      <scheme val="minor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11"/>
      <color theme="0"/>
      <name val="Arial"/>
      <family val="2"/>
    </font>
    <font>
      <sz val="36"/>
      <color theme="1"/>
      <name val="Arial"/>
      <family val="2"/>
    </font>
    <font>
      <sz val="20"/>
      <color theme="0"/>
      <name val="Arial"/>
      <family val="2"/>
    </font>
    <font>
      <sz val="18"/>
      <color theme="0"/>
      <name val="Arial"/>
      <family val="2"/>
    </font>
    <font>
      <b/>
      <sz val="18"/>
      <color theme="1"/>
      <name val="Arial"/>
      <family val="2"/>
    </font>
    <font>
      <b/>
      <sz val="11"/>
      <color theme="1"/>
      <name val="Arial"/>
      <family val="2"/>
    </font>
    <font>
      <sz val="11"/>
      <color theme="1" tint="0.14999847407452621"/>
      <name val="Arial"/>
      <family val="2"/>
    </font>
    <font>
      <b/>
      <sz val="12"/>
      <color theme="0"/>
      <name val="Arial"/>
      <family val="2"/>
    </font>
    <font>
      <b/>
      <sz val="12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rgb="FFFFFF00"/>
      <name val="Arial"/>
      <family val="2"/>
    </font>
    <font>
      <b/>
      <u/>
      <sz val="22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2" tint="-9.9978637043366805E-2"/>
        <bgColor theme="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</fills>
  <borders count="83">
    <border>
      <left/>
      <right/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/>
      <top style="thin">
        <color theme="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theme="4"/>
      </bottom>
      <diagonal/>
    </border>
    <border>
      <left/>
      <right style="medium">
        <color theme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theme="1"/>
      </right>
      <top/>
      <bottom/>
      <diagonal/>
    </border>
    <border>
      <left style="medium">
        <color theme="1"/>
      </left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thin">
        <color theme="0" tint="-0.34998626667073579"/>
      </left>
      <right/>
      <top style="medium">
        <color theme="1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theme="1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theme="1"/>
      </bottom>
      <diagonal/>
    </border>
    <border>
      <left/>
      <right style="medium">
        <color indexed="64"/>
      </right>
      <top/>
      <bottom style="thin">
        <color theme="4"/>
      </bottom>
      <diagonal/>
    </border>
    <border>
      <left style="thin">
        <color indexed="64"/>
      </left>
      <right style="medium">
        <color indexed="64"/>
      </right>
      <top style="thin">
        <color theme="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theme="4"/>
      </top>
      <bottom/>
      <diagonal/>
    </border>
    <border>
      <left style="medium">
        <color indexed="64"/>
      </left>
      <right/>
      <top style="thin">
        <color theme="4"/>
      </top>
      <bottom style="medium">
        <color indexed="64"/>
      </bottom>
      <diagonal/>
    </border>
    <border>
      <left/>
      <right/>
      <top style="thin">
        <color theme="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indexed="64"/>
      </left>
      <right style="thin">
        <color theme="0" tint="-0.34998626667073579"/>
      </right>
      <top style="medium">
        <color theme="1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theme="1"/>
      </bottom>
      <diagonal/>
    </border>
    <border>
      <left style="medium">
        <color indexed="64"/>
      </left>
      <right/>
      <top style="thin">
        <color theme="0" tint="-0.34998626667073579"/>
      </top>
      <bottom style="medium">
        <color theme="1"/>
      </bottom>
      <diagonal/>
    </border>
    <border>
      <left style="medium">
        <color indexed="64"/>
      </left>
      <right/>
      <top style="medium">
        <color theme="1"/>
      </top>
      <bottom style="thin">
        <color theme="0" tint="-0.34998626667073579"/>
      </bottom>
      <diagonal/>
    </border>
    <border>
      <left style="medium">
        <color indexed="64"/>
      </left>
      <right/>
      <top style="thin">
        <color theme="0" tint="-0.34998626667073579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/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3" fillId="0" borderId="0" applyFont="0" applyFill="0" applyBorder="0" applyAlignment="0" applyProtection="0"/>
  </cellStyleXfs>
  <cellXfs count="164">
    <xf numFmtId="0" fontId="0" fillId="0" borderId="0" xfId="0"/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3" borderId="8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1" fontId="0" fillId="0" borderId="0" xfId="0" applyNumberFormat="1"/>
    <xf numFmtId="49" fontId="0" fillId="0" borderId="0" xfId="0" applyNumberFormat="1"/>
    <xf numFmtId="0" fontId="5" fillId="3" borderId="17" xfId="0" applyFont="1" applyFill="1" applyBorder="1" applyAlignment="1">
      <alignment horizontal="center" vertical="center" wrapText="1"/>
    </xf>
    <xf numFmtId="0" fontId="0" fillId="4" borderId="18" xfId="0" applyFill="1" applyBorder="1"/>
    <xf numFmtId="0" fontId="0" fillId="4" borderId="18" xfId="0" applyFill="1" applyBorder="1" applyAlignment="1">
      <alignment horizontal="right"/>
    </xf>
    <xf numFmtId="49" fontId="0" fillId="4" borderId="18" xfId="0" applyNumberFormat="1" applyFill="1" applyBorder="1"/>
    <xf numFmtId="9" fontId="0" fillId="4" borderId="18" xfId="2" applyFont="1" applyFill="1" applyBorder="1"/>
    <xf numFmtId="0" fontId="0" fillId="4" borderId="16" xfId="0" applyFill="1" applyBorder="1"/>
    <xf numFmtId="0" fontId="0" fillId="4" borderId="16" xfId="0" applyFill="1" applyBorder="1" applyAlignment="1">
      <alignment horizontal="right"/>
    </xf>
    <xf numFmtId="49" fontId="0" fillId="4" borderId="16" xfId="0" applyNumberFormat="1" applyFill="1" applyBorder="1"/>
    <xf numFmtId="9" fontId="0" fillId="4" borderId="16" xfId="2" applyFont="1" applyFill="1" applyBorder="1"/>
    <xf numFmtId="0" fontId="4" fillId="4" borderId="0" xfId="1" applyFont="1" applyFill="1" applyBorder="1" applyAlignment="1">
      <alignment vertical="center" wrapText="1"/>
    </xf>
    <xf numFmtId="0" fontId="5" fillId="6" borderId="22" xfId="0" applyFont="1" applyFill="1" applyBorder="1" applyAlignment="1">
      <alignment vertical="center" wrapText="1"/>
    </xf>
    <xf numFmtId="0" fontId="5" fillId="6" borderId="22" xfId="0" applyFont="1" applyFill="1" applyBorder="1" applyAlignment="1">
      <alignment horizontal="center" vertical="center" wrapText="1"/>
    </xf>
    <xf numFmtId="0" fontId="10" fillId="0" borderId="0" xfId="0" applyFont="1"/>
    <xf numFmtId="2" fontId="7" fillId="0" borderId="0" xfId="0" applyNumberFormat="1" applyFont="1" applyAlignment="1">
      <alignment textRotation="90"/>
    </xf>
    <xf numFmtId="2" fontId="10" fillId="0" borderId="0" xfId="0" applyNumberFormat="1" applyFont="1" applyAlignment="1">
      <alignment textRotation="90"/>
    </xf>
    <xf numFmtId="0" fontId="10" fillId="0" borderId="0" xfId="0" applyFont="1" applyAlignment="1">
      <alignment horizontal="center"/>
    </xf>
    <xf numFmtId="2" fontId="12" fillId="0" borderId="0" xfId="0" applyNumberFormat="1" applyFont="1"/>
    <xf numFmtId="0" fontId="10" fillId="4" borderId="0" xfId="0" applyFont="1" applyFill="1"/>
    <xf numFmtId="0" fontId="16" fillId="4" borderId="0" xfId="1" applyFont="1" applyFill="1" applyBorder="1" applyAlignment="1">
      <alignment vertical="center" wrapText="1"/>
    </xf>
    <xf numFmtId="0" fontId="10" fillId="0" borderId="2" xfId="0" applyFont="1" applyBorder="1"/>
    <xf numFmtId="0" fontId="10" fillId="0" borderId="1" xfId="0" applyFont="1" applyBorder="1"/>
    <xf numFmtId="0" fontId="10" fillId="0" borderId="14" xfId="0" applyFont="1" applyBorder="1"/>
    <xf numFmtId="0" fontId="10" fillId="0" borderId="0" xfId="0" applyFont="1" applyProtection="1">
      <protection locked="0"/>
    </xf>
    <xf numFmtId="0" fontId="10" fillId="0" borderId="19" xfId="0" applyFont="1" applyBorder="1"/>
    <xf numFmtId="0" fontId="10" fillId="0" borderId="22" xfId="0" applyFont="1" applyBorder="1"/>
    <xf numFmtId="0" fontId="18" fillId="9" borderId="32" xfId="0" applyFont="1" applyFill="1" applyBorder="1" applyAlignment="1">
      <alignment vertical="center"/>
    </xf>
    <xf numFmtId="0" fontId="19" fillId="9" borderId="33" xfId="0" applyFont="1" applyFill="1" applyBorder="1" applyAlignment="1">
      <alignment vertical="center"/>
    </xf>
    <xf numFmtId="0" fontId="10" fillId="0" borderId="35" xfId="0" applyFont="1" applyBorder="1"/>
    <xf numFmtId="0" fontId="18" fillId="9" borderId="39" xfId="0" applyFont="1" applyFill="1" applyBorder="1" applyAlignment="1">
      <alignment vertical="center"/>
    </xf>
    <xf numFmtId="0" fontId="18" fillId="9" borderId="36" xfId="0" applyFont="1" applyFill="1" applyBorder="1" applyAlignment="1">
      <alignment vertical="center" wrapText="1"/>
    </xf>
    <xf numFmtId="0" fontId="18" fillId="9" borderId="40" xfId="0" applyFont="1" applyFill="1" applyBorder="1" applyAlignment="1">
      <alignment vertical="center" wrapText="1"/>
    </xf>
    <xf numFmtId="0" fontId="10" fillId="0" borderId="44" xfId="0" applyFont="1" applyBorder="1"/>
    <xf numFmtId="0" fontId="8" fillId="8" borderId="15" xfId="0" applyFont="1" applyFill="1" applyBorder="1"/>
    <xf numFmtId="0" fontId="8" fillId="8" borderId="13" xfId="0" applyFont="1" applyFill="1" applyBorder="1"/>
    <xf numFmtId="0" fontId="8" fillId="4" borderId="15" xfId="0" applyFont="1" applyFill="1" applyBorder="1"/>
    <xf numFmtId="0" fontId="8" fillId="4" borderId="13" xfId="0" applyFont="1" applyFill="1" applyBorder="1"/>
    <xf numFmtId="0" fontId="20" fillId="7" borderId="15" xfId="0" applyFont="1" applyFill="1" applyBorder="1"/>
    <xf numFmtId="0" fontId="20" fillId="7" borderId="13" xfId="0" applyFont="1" applyFill="1" applyBorder="1"/>
    <xf numFmtId="164" fontId="8" fillId="4" borderId="15" xfId="0" applyNumberFormat="1" applyFont="1" applyFill="1" applyBorder="1"/>
    <xf numFmtId="164" fontId="8" fillId="4" borderId="13" xfId="0" applyNumberFormat="1" applyFont="1" applyFill="1" applyBorder="1"/>
    <xf numFmtId="0" fontId="8" fillId="5" borderId="15" xfId="0" applyFont="1" applyFill="1" applyBorder="1"/>
    <xf numFmtId="0" fontId="8" fillId="5" borderId="13" xfId="0" applyFont="1" applyFill="1" applyBorder="1"/>
    <xf numFmtId="0" fontId="8" fillId="2" borderId="13" xfId="0" applyFont="1" applyFill="1" applyBorder="1"/>
    <xf numFmtId="164" fontId="8" fillId="5" borderId="13" xfId="0" applyNumberFormat="1" applyFont="1" applyFill="1" applyBorder="1"/>
    <xf numFmtId="0" fontId="21" fillId="4" borderId="13" xfId="0" applyFont="1" applyFill="1" applyBorder="1"/>
    <xf numFmtId="0" fontId="8" fillId="0" borderId="41" xfId="0" applyFont="1" applyBorder="1" applyAlignment="1">
      <alignment horizontal="center" vertical="center"/>
    </xf>
    <xf numFmtId="0" fontId="8" fillId="0" borderId="42" xfId="0" applyFont="1" applyBorder="1" applyAlignment="1">
      <alignment horizontal="center" vertical="center"/>
    </xf>
    <xf numFmtId="164" fontId="8" fillId="11" borderId="42" xfId="0" applyNumberFormat="1" applyFont="1" applyFill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5" fillId="6" borderId="19" xfId="0" applyFont="1" applyFill="1" applyBorder="1" applyAlignment="1">
      <alignment vertical="center" wrapText="1"/>
    </xf>
    <xf numFmtId="0" fontId="0" fillId="4" borderId="53" xfId="0" applyFill="1" applyBorder="1"/>
    <xf numFmtId="0" fontId="0" fillId="4" borderId="55" xfId="0" applyFill="1" applyBorder="1"/>
    <xf numFmtId="0" fontId="0" fillId="4" borderId="56" xfId="0" applyFill="1" applyBorder="1"/>
    <xf numFmtId="0" fontId="0" fillId="4" borderId="57" xfId="0" applyFill="1" applyBorder="1"/>
    <xf numFmtId="0" fontId="0" fillId="4" borderId="57" xfId="0" applyFill="1" applyBorder="1" applyAlignment="1">
      <alignment horizontal="right"/>
    </xf>
    <xf numFmtId="49" fontId="0" fillId="4" borderId="57" xfId="0" applyNumberFormat="1" applyFill="1" applyBorder="1"/>
    <xf numFmtId="0" fontId="0" fillId="4" borderId="58" xfId="0" applyFill="1" applyBorder="1"/>
    <xf numFmtId="9" fontId="0" fillId="4" borderId="57" xfId="2" applyFont="1" applyFill="1" applyBorder="1"/>
    <xf numFmtId="0" fontId="18" fillId="0" borderId="60" xfId="0" applyFont="1" applyBorder="1"/>
    <xf numFmtId="0" fontId="8" fillId="0" borderId="61" xfId="0" applyFont="1" applyBorder="1"/>
    <xf numFmtId="0" fontId="8" fillId="0" borderId="62" xfId="0" applyFont="1" applyBorder="1"/>
    <xf numFmtId="0" fontId="8" fillId="0" borderId="66" xfId="0" applyFont="1" applyBorder="1"/>
    <xf numFmtId="0" fontId="18" fillId="0" borderId="67" xfId="0" applyFont="1" applyBorder="1"/>
    <xf numFmtId="0" fontId="8" fillId="0" borderId="68" xfId="0" applyFont="1" applyBorder="1"/>
    <xf numFmtId="0" fontId="0" fillId="0" borderId="62" xfId="0" applyBorder="1"/>
    <xf numFmtId="0" fontId="11" fillId="2" borderId="0" xfId="0" applyFont="1" applyFill="1" applyAlignment="1">
      <alignment vertical="center" textRotation="90"/>
    </xf>
    <xf numFmtId="0" fontId="11" fillId="2" borderId="22" xfId="0" applyFont="1" applyFill="1" applyBorder="1" applyAlignment="1">
      <alignment vertical="center" textRotation="90"/>
    </xf>
    <xf numFmtId="0" fontId="11" fillId="2" borderId="23" xfId="0" applyFont="1" applyFill="1" applyBorder="1" applyAlignment="1">
      <alignment vertical="center" textRotation="90"/>
    </xf>
    <xf numFmtId="0" fontId="18" fillId="0" borderId="63" xfId="0" applyFont="1" applyBorder="1"/>
    <xf numFmtId="0" fontId="8" fillId="0" borderId="64" xfId="0" applyFont="1" applyBorder="1"/>
    <xf numFmtId="0" fontId="8" fillId="0" borderId="65" xfId="0" applyFont="1" applyBorder="1"/>
    <xf numFmtId="0" fontId="11" fillId="10" borderId="72" xfId="0" applyFont="1" applyFill="1" applyBorder="1" applyAlignment="1">
      <alignment horizontal="center" vertical="center"/>
    </xf>
    <xf numFmtId="0" fontId="11" fillId="10" borderId="73" xfId="0" applyFont="1" applyFill="1" applyBorder="1" applyAlignment="1">
      <alignment horizontal="center" vertical="center"/>
    </xf>
    <xf numFmtId="0" fontId="8" fillId="0" borderId="37" xfId="0" applyFont="1" applyBorder="1"/>
    <xf numFmtId="0" fontId="8" fillId="0" borderId="34" xfId="0" applyFont="1" applyBorder="1"/>
    <xf numFmtId="0" fontId="8" fillId="0" borderId="38" xfId="0" applyFont="1" applyBorder="1"/>
    <xf numFmtId="0" fontId="0" fillId="4" borderId="18" xfId="2" applyNumberFormat="1" applyFont="1" applyFill="1" applyBorder="1"/>
    <xf numFmtId="0" fontId="0" fillId="4" borderId="16" xfId="2" applyNumberFormat="1" applyFont="1" applyFill="1" applyBorder="1"/>
    <xf numFmtId="0" fontId="0" fillId="4" borderId="57" xfId="2" applyNumberFormat="1" applyFont="1" applyFill="1" applyBorder="1"/>
    <xf numFmtId="0" fontId="0" fillId="0" borderId="0" xfId="0" applyAlignment="1">
      <alignment horizontal="center"/>
    </xf>
    <xf numFmtId="2" fontId="5" fillId="3" borderId="52" xfId="0" applyNumberFormat="1" applyFont="1" applyFill="1" applyBorder="1" applyAlignment="1">
      <alignment horizontal="center" vertical="center" wrapText="1"/>
    </xf>
    <xf numFmtId="164" fontId="0" fillId="4" borderId="54" xfId="0" applyNumberFormat="1" applyFill="1" applyBorder="1" applyAlignment="1">
      <alignment horizontal="center"/>
    </xf>
    <xf numFmtId="164" fontId="0" fillId="4" borderId="59" xfId="0" applyNumberFormat="1" applyFill="1" applyBorder="1" applyAlignment="1">
      <alignment horizontal="center"/>
    </xf>
    <xf numFmtId="49" fontId="0" fillId="4" borderId="18" xfId="0" applyNumberFormat="1" applyFill="1" applyBorder="1" applyAlignment="1">
      <alignment horizontal="left"/>
    </xf>
    <xf numFmtId="0" fontId="0" fillId="4" borderId="18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57" xfId="0" applyFill="1" applyBorder="1" applyAlignment="1">
      <alignment horizontal="center"/>
    </xf>
    <xf numFmtId="0" fontId="0" fillId="4" borderId="58" xfId="0" applyFill="1" applyBorder="1" applyAlignment="1">
      <alignment horizontal="center"/>
    </xf>
    <xf numFmtId="164" fontId="23" fillId="4" borderId="13" xfId="0" applyNumberFormat="1" applyFont="1" applyFill="1" applyBorder="1"/>
    <xf numFmtId="0" fontId="0" fillId="0" borderId="0" xfId="0" applyProtection="1">
      <protection locked="0"/>
    </xf>
    <xf numFmtId="0" fontId="6" fillId="7" borderId="46" xfId="1" applyFont="1" applyFill="1" applyBorder="1" applyAlignment="1">
      <alignment horizontal="center" vertical="center" wrapText="1"/>
    </xf>
    <xf numFmtId="0" fontId="6" fillId="7" borderId="48" xfId="1" applyFont="1" applyFill="1" applyBorder="1" applyAlignment="1">
      <alignment horizontal="center" vertical="center" wrapText="1"/>
    </xf>
    <xf numFmtId="0" fontId="6" fillId="7" borderId="0" xfId="1" applyFont="1" applyFill="1" applyBorder="1" applyAlignment="1">
      <alignment horizontal="center" vertical="center" wrapText="1"/>
    </xf>
    <xf numFmtId="0" fontId="6" fillId="7" borderId="49" xfId="1" applyFont="1" applyFill="1" applyBorder="1" applyAlignment="1">
      <alignment horizontal="center" vertical="center" wrapText="1"/>
    </xf>
    <xf numFmtId="0" fontId="6" fillId="7" borderId="20" xfId="1" applyFont="1" applyFill="1" applyBorder="1" applyAlignment="1">
      <alignment horizontal="center" vertical="center" wrapText="1"/>
    </xf>
    <xf numFmtId="0" fontId="6" fillId="7" borderId="51" xfId="1" applyFont="1" applyFill="1" applyBorder="1" applyAlignment="1">
      <alignment horizontal="center" vertical="center" wrapText="1"/>
    </xf>
    <xf numFmtId="0" fontId="9" fillId="3" borderId="45" xfId="0" applyFont="1" applyFill="1" applyBorder="1" applyAlignment="1">
      <alignment horizontal="center" vertical="center"/>
    </xf>
    <xf numFmtId="0" fontId="9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horizontal="center" vertical="center"/>
    </xf>
    <xf numFmtId="0" fontId="9" fillId="3" borderId="19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31" xfId="0" applyFont="1" applyFill="1" applyBorder="1" applyAlignment="1">
      <alignment horizontal="center" vertical="center"/>
    </xf>
    <xf numFmtId="0" fontId="9" fillId="3" borderId="50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0" fillId="0" borderId="0" xfId="0"/>
    <xf numFmtId="0" fontId="8" fillId="4" borderId="69" xfId="0" applyFont="1" applyFill="1" applyBorder="1" applyAlignment="1">
      <alignment horizontal="center" vertical="center"/>
    </xf>
    <xf numFmtId="0" fontId="8" fillId="4" borderId="70" xfId="0" applyFont="1" applyFill="1" applyBorder="1" applyAlignment="1">
      <alignment horizontal="center" vertical="center"/>
    </xf>
    <xf numFmtId="0" fontId="8" fillId="4" borderId="71" xfId="0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 vertical="center"/>
    </xf>
    <xf numFmtId="0" fontId="17" fillId="9" borderId="2" xfId="0" applyFont="1" applyFill="1" applyBorder="1" applyAlignment="1">
      <alignment horizontal="center" vertical="center"/>
    </xf>
    <xf numFmtId="0" fontId="17" fillId="9" borderId="3" xfId="0" applyFont="1" applyFill="1" applyBorder="1" applyAlignment="1">
      <alignment horizontal="center" vertical="center"/>
    </xf>
    <xf numFmtId="0" fontId="14" fillId="9" borderId="1" xfId="1" applyFont="1" applyFill="1" applyBorder="1" applyAlignment="1" applyProtection="1">
      <alignment horizontal="center" vertical="center" wrapText="1"/>
    </xf>
    <xf numFmtId="0" fontId="14" fillId="9" borderId="2" xfId="1" applyFont="1" applyFill="1" applyBorder="1" applyAlignment="1" applyProtection="1">
      <alignment horizontal="center" vertical="center" wrapText="1"/>
    </xf>
    <xf numFmtId="0" fontId="14" fillId="9" borderId="3" xfId="1" applyFont="1" applyFill="1" applyBorder="1" applyAlignment="1" applyProtection="1">
      <alignment horizontal="center" vertical="center" wrapText="1"/>
    </xf>
    <xf numFmtId="0" fontId="14" fillId="9" borderId="24" xfId="1" applyFont="1" applyFill="1" applyBorder="1" applyAlignment="1" applyProtection="1">
      <alignment horizontal="center" vertical="center" wrapText="1"/>
    </xf>
    <xf numFmtId="0" fontId="14" fillId="9" borderId="0" xfId="1" applyFont="1" applyFill="1" applyBorder="1" applyAlignment="1" applyProtection="1">
      <alignment horizontal="center" vertical="center" wrapText="1"/>
    </xf>
    <xf numFmtId="0" fontId="14" fillId="9" borderId="21" xfId="1" applyFont="1" applyFill="1" applyBorder="1" applyAlignment="1" applyProtection="1">
      <alignment horizontal="center" vertical="center" wrapText="1"/>
    </xf>
    <xf numFmtId="0" fontId="14" fillId="9" borderId="4" xfId="1" applyFont="1" applyFill="1" applyBorder="1" applyAlignment="1" applyProtection="1">
      <alignment horizontal="center" vertical="center" wrapText="1"/>
    </xf>
    <xf numFmtId="0" fontId="14" fillId="9" borderId="5" xfId="1" applyFont="1" applyFill="1" applyBorder="1" applyAlignment="1" applyProtection="1">
      <alignment horizontal="center" vertical="center" wrapText="1"/>
    </xf>
    <xf numFmtId="0" fontId="14" fillId="9" borderId="6" xfId="1" applyFont="1" applyFill="1" applyBorder="1" applyAlignment="1" applyProtection="1">
      <alignment horizontal="center" vertical="center" wrapText="1"/>
    </xf>
    <xf numFmtId="0" fontId="15" fillId="7" borderId="0" xfId="1" applyFont="1" applyFill="1" applyBorder="1" applyAlignment="1">
      <alignment horizontal="center" vertical="center" wrapText="1"/>
    </xf>
    <xf numFmtId="0" fontId="13" fillId="7" borderId="0" xfId="0" applyFont="1" applyFill="1" applyAlignment="1">
      <alignment horizontal="center" textRotation="255"/>
    </xf>
    <xf numFmtId="0" fontId="17" fillId="9" borderId="28" xfId="0" applyFont="1" applyFill="1" applyBorder="1" applyAlignment="1">
      <alignment horizontal="left"/>
    </xf>
    <xf numFmtId="0" fontId="17" fillId="9" borderId="29" xfId="0" applyFont="1" applyFill="1" applyBorder="1" applyAlignment="1">
      <alignment horizontal="left"/>
    </xf>
    <xf numFmtId="0" fontId="17" fillId="9" borderId="30" xfId="0" applyFont="1" applyFill="1" applyBorder="1" applyAlignment="1">
      <alignment horizontal="left"/>
    </xf>
    <xf numFmtId="0" fontId="17" fillId="9" borderId="25" xfId="0" applyFont="1" applyFill="1" applyBorder="1" applyAlignment="1">
      <alignment horizontal="left"/>
    </xf>
    <xf numFmtId="0" fontId="17" fillId="9" borderId="26" xfId="0" applyFont="1" applyFill="1" applyBorder="1" applyAlignment="1">
      <alignment horizontal="left"/>
    </xf>
    <xf numFmtId="0" fontId="17" fillId="9" borderId="27" xfId="0" applyFont="1" applyFill="1" applyBorder="1" applyAlignment="1">
      <alignment horizontal="left"/>
    </xf>
    <xf numFmtId="0" fontId="10" fillId="0" borderId="0" xfId="0" applyFont="1" applyAlignment="1">
      <alignment horizontal="center"/>
    </xf>
    <xf numFmtId="0" fontId="8" fillId="9" borderId="4" xfId="0" applyFont="1" applyFill="1" applyBorder="1" applyAlignment="1">
      <alignment horizontal="left" vertical="center"/>
    </xf>
    <xf numFmtId="0" fontId="8" fillId="9" borderId="5" xfId="0" applyFont="1" applyFill="1" applyBorder="1" applyAlignment="1">
      <alignment horizontal="left" vertical="center"/>
    </xf>
    <xf numFmtId="0" fontId="8" fillId="9" borderId="6" xfId="0" applyFont="1" applyFill="1" applyBorder="1" applyAlignment="1">
      <alignment horizontal="left" vertical="center"/>
    </xf>
    <xf numFmtId="0" fontId="8" fillId="9" borderId="24" xfId="0" applyFont="1" applyFill="1" applyBorder="1" applyAlignment="1">
      <alignment horizontal="left" vertical="center"/>
    </xf>
    <xf numFmtId="0" fontId="8" fillId="9" borderId="0" xfId="0" applyFont="1" applyFill="1" applyAlignment="1">
      <alignment horizontal="left" vertical="center"/>
    </xf>
    <xf numFmtId="0" fontId="8" fillId="9" borderId="21" xfId="0" applyFont="1" applyFill="1" applyBorder="1" applyAlignment="1">
      <alignment horizontal="left" vertical="center"/>
    </xf>
    <xf numFmtId="0" fontId="8" fillId="9" borderId="1" xfId="0" applyFont="1" applyFill="1" applyBorder="1" applyAlignment="1">
      <alignment horizontal="left" vertical="center"/>
    </xf>
    <xf numFmtId="0" fontId="8" fillId="9" borderId="2" xfId="0" applyFont="1" applyFill="1" applyBorder="1" applyAlignment="1">
      <alignment horizontal="left" vertical="center"/>
    </xf>
    <xf numFmtId="0" fontId="8" fillId="9" borderId="3" xfId="0" applyFont="1" applyFill="1" applyBorder="1" applyAlignment="1">
      <alignment horizontal="left" vertical="center"/>
    </xf>
    <xf numFmtId="0" fontId="11" fillId="10" borderId="78" xfId="0" applyFont="1" applyFill="1" applyBorder="1" applyAlignment="1">
      <alignment horizontal="center" vertical="center"/>
    </xf>
    <xf numFmtId="0" fontId="11" fillId="10" borderId="79" xfId="0" applyFont="1" applyFill="1" applyBorder="1" applyAlignment="1">
      <alignment horizontal="center" vertical="center"/>
    </xf>
    <xf numFmtId="0" fontId="11" fillId="10" borderId="11" xfId="0" applyFont="1" applyFill="1" applyBorder="1" applyAlignment="1">
      <alignment horizontal="center" vertical="center"/>
    </xf>
    <xf numFmtId="0" fontId="11" fillId="10" borderId="76" xfId="0" applyFont="1" applyFill="1" applyBorder="1" applyAlignment="1">
      <alignment horizontal="center" vertical="center"/>
    </xf>
    <xf numFmtId="0" fontId="11" fillId="10" borderId="74" xfId="0" applyFont="1" applyFill="1" applyBorder="1" applyAlignment="1">
      <alignment horizontal="center" vertical="center"/>
    </xf>
    <xf numFmtId="0" fontId="11" fillId="10" borderId="75" xfId="0" applyFont="1" applyFill="1" applyBorder="1" applyAlignment="1">
      <alignment horizontal="center" vertical="center"/>
    </xf>
    <xf numFmtId="0" fontId="11" fillId="10" borderId="13" xfId="0" applyFont="1" applyFill="1" applyBorder="1" applyAlignment="1">
      <alignment horizontal="center" vertical="center"/>
    </xf>
    <xf numFmtId="0" fontId="11" fillId="10" borderId="54" xfId="0" applyFont="1" applyFill="1" applyBorder="1" applyAlignment="1">
      <alignment horizontal="center" vertical="center"/>
    </xf>
    <xf numFmtId="0" fontId="11" fillId="10" borderId="77" xfId="0" applyFont="1" applyFill="1" applyBorder="1" applyAlignment="1">
      <alignment horizontal="center" vertical="center"/>
    </xf>
    <xf numFmtId="0" fontId="11" fillId="10" borderId="59" xfId="0" applyFont="1" applyFill="1" applyBorder="1" applyAlignment="1">
      <alignment horizontal="center" vertical="center"/>
    </xf>
    <xf numFmtId="0" fontId="22" fillId="12" borderId="80" xfId="0" applyFont="1" applyFill="1" applyBorder="1" applyAlignment="1">
      <alignment horizontal="center" vertical="center"/>
    </xf>
    <xf numFmtId="0" fontId="22" fillId="12" borderId="81" xfId="0" applyFont="1" applyFill="1" applyBorder="1" applyAlignment="1">
      <alignment horizontal="center" vertical="center"/>
    </xf>
    <xf numFmtId="0" fontId="22" fillId="12" borderId="82" xfId="0" applyFont="1" applyFill="1" applyBorder="1" applyAlignment="1">
      <alignment horizontal="center" vertical="center"/>
    </xf>
    <xf numFmtId="0" fontId="2" fillId="0" borderId="80" xfId="1" applyFill="1" applyBorder="1" applyAlignment="1">
      <alignment vertical="center"/>
    </xf>
    <xf numFmtId="0" fontId="2" fillId="0" borderId="81" xfId="1" applyFill="1" applyBorder="1" applyAlignment="1">
      <alignment vertical="center"/>
    </xf>
    <xf numFmtId="0" fontId="2" fillId="0" borderId="82" xfId="1" applyFill="1" applyBorder="1" applyAlignment="1">
      <alignment vertical="center"/>
    </xf>
  </cellXfs>
  <cellStyles count="3">
    <cellStyle name="Hyperlink" xfId="1" builtinId="8"/>
    <cellStyle name="Normal" xfId="0" builtinId="0"/>
    <cellStyle name="Percent" xfId="2" builtinId="5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outline="0">
        <top style="medium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border outline="0"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F7B6AF"/>
      </font>
      <fill>
        <patternFill>
          <bgColor rgb="FFF7B6AF"/>
        </patternFill>
      </fill>
    </dxf>
    <dxf>
      <numFmt numFmtId="164" formatCode="0.0"/>
      <fill>
        <patternFill>
          <bgColor rgb="FFFFFF0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9C0006"/>
      </font>
      <fill>
        <patternFill>
          <bgColor theme="4" tint="-0.49998474074526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theme="4"/>
        </left>
        <right/>
        <top style="thin">
          <color theme="4"/>
        </top>
        <bottom/>
      </border>
    </dxf>
    <dxf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/>
          <bgColor theme="2" tint="-9.9978637043366805E-2"/>
        </patternFill>
      </fill>
      <alignment horizontal="general" vertical="center" textRotation="0" wrapText="1" indent="0" justifyLastLine="0" shrinkToFit="0" readingOrder="0"/>
    </dxf>
    <dxf>
      <fill>
        <patternFill>
          <bgColor theme="4" tint="0.59996337778862885"/>
        </patternFill>
      </fill>
    </dxf>
    <dxf>
      <fill>
        <patternFill>
          <bgColor theme="0"/>
        </patternFill>
      </fill>
    </dxf>
  </dxfs>
  <tableStyles count="2" defaultTableStyle="TableStyleMedium2" defaultPivotStyle="PivotStyleLight16">
    <tableStyle name="Table Style 1" pivot="0" count="1" xr9:uid="{4340EAC3-3ECF-4F5A-A4A9-DA217EB82771}">
      <tableStyleElement type="wholeTable" dxfId="59"/>
    </tableStyle>
    <tableStyle name="Table Style 2" pivot="0" count="1" xr9:uid="{383319C9-D6A9-466C-A934-1376A39E5A4F}">
      <tableStyleElement type="firstRowStripe" dxfId="58"/>
    </tableStyle>
  </tableStyles>
  <colors>
    <mruColors>
      <color rgb="FFF7B6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2" Type="http://schemas.openxmlformats.org/officeDocument/2006/relationships/image" Target="../media/image2.png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22860</xdr:colOff>
          <xdr:row>2</xdr:row>
          <xdr:rowOff>0</xdr:rowOff>
        </xdr:from>
        <xdr:to>
          <xdr:col>43</xdr:col>
          <xdr:colOff>243840</xdr:colOff>
          <xdr:row>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2200" b="1" i="0" u="sng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E-Mail an LT Lieferant senden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326691</xdr:colOff>
      <xdr:row>4</xdr:row>
      <xdr:rowOff>47920</xdr:rowOff>
    </xdr:from>
    <xdr:to>
      <xdr:col>13</xdr:col>
      <xdr:colOff>282752</xdr:colOff>
      <xdr:row>4</xdr:row>
      <xdr:rowOff>223180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7184691" y="1747180"/>
          <a:ext cx="344681" cy="17526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15</xdr:col>
      <xdr:colOff>213336</xdr:colOff>
      <xdr:row>5</xdr:row>
      <xdr:rowOff>60465</xdr:rowOff>
    </xdr:from>
    <xdr:to>
      <xdr:col>16</xdr:col>
      <xdr:colOff>142516</xdr:colOff>
      <xdr:row>5</xdr:row>
      <xdr:rowOff>250371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8304391" y="2041665"/>
          <a:ext cx="344816" cy="189906"/>
        </a:xfrm>
        <a:prstGeom prst="roundRect">
          <a:avLst/>
        </a:prstGeom>
        <a:solidFill>
          <a:srgbClr val="F7B6A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16</xdr:col>
      <xdr:colOff>18352</xdr:colOff>
      <xdr:row>4</xdr:row>
      <xdr:rowOff>75473</xdr:rowOff>
    </xdr:from>
    <xdr:to>
      <xdr:col>17</xdr:col>
      <xdr:colOff>18810</xdr:colOff>
      <xdr:row>4</xdr:row>
      <xdr:rowOff>278476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476552" y="1774733"/>
          <a:ext cx="373838" cy="203003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oneCell">
    <xdr:from>
      <xdr:col>9</xdr:col>
      <xdr:colOff>152091</xdr:colOff>
      <xdr:row>1</xdr:row>
      <xdr:rowOff>43594</xdr:rowOff>
    </xdr:from>
    <xdr:to>
      <xdr:col>9</xdr:col>
      <xdr:colOff>156771</xdr:colOff>
      <xdr:row>1</xdr:row>
      <xdr:rowOff>43954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Freihand 1">
              <a:extLst>
                <a:ext uri="{FF2B5EF4-FFF2-40B4-BE49-F238E27FC236}">
                  <a16:creationId xmlns:a16="http://schemas.microsoft.com/office/drawing/2014/main" id="{2C5EF43A-3BAA-30CC-9927-D949CB27CCAD}"/>
                </a:ext>
              </a:extLst>
            </xdr14:cNvPr>
            <xdr14:cNvContentPartPr/>
          </xdr14:nvContentPartPr>
          <xdr14:nvPr macro=""/>
          <xdr14:xfrm>
            <a:off x="5877977" y="587880"/>
            <a:ext cx="4680" cy="360"/>
          </xdr14:xfrm>
        </xdr:contentPart>
      </mc:Choice>
      <mc:Fallback xmlns="">
        <xdr:pic>
          <xdr:nvPicPr>
            <xdr:cNvPr id="2" name="Freihand 1">
              <a:extLst>
                <a:ext uri="{FF2B5EF4-FFF2-40B4-BE49-F238E27FC236}">
                  <a16:creationId xmlns:a16="http://schemas.microsoft.com/office/drawing/2014/main" id="{2C5EF43A-3BAA-30CC-9927-D949CB27CCAD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5871857" y="581760"/>
              <a:ext cx="1692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1-16T14:45:07.453"/>
    </inkml:context>
    <inkml:brush xml:id="br0">
      <inkml:brushProperty name="width" value="0.035" units="cm"/>
      <inkml:brushProperty name="height" value="0.035" units="cm"/>
      <inkml:brushProperty name="color" value="#AB008B"/>
    </inkml:brush>
  </inkml:definitions>
  <inkml:trace contextRef="#ctx0" brushRef="#br0">1 1 24575,'5'0'0,"2"0"-8191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F8105C1-6A90-4B8A-AFCE-EB2CDC74E6E2}" name="Table5" displayName="Table5" ref="B8:AI67" totalsRowShown="0" headerRowDxfId="57" dataDxfId="56">
  <autoFilter ref="B8:AI67" xr:uid="{7F8105C1-6A90-4B8A-AFCE-EB2CDC74E6E2}"/>
  <tableColumns count="34">
    <tableColumn id="1" xr3:uid="{6645AAD4-936B-415E-9E24-7DF73774E40D}" name="Pos." dataDxfId="55"/>
    <tableColumn id="2" xr3:uid="{83348933-2FD6-4DB2-BCDD-86C740178AEE}" name="Projekt" dataDxfId="54"/>
    <tableColumn id="3" xr3:uid="{DB3AC202-8EBA-4C7D-AEC7-05569A71D95B}" name="BR" dataDxfId="53"/>
    <tableColumn id="4" xr3:uid="{B3F948B6-7BD3-4BC8-9C6A-636921E5854F}" name="T5" dataDxfId="52"/>
    <tableColumn id="5" xr3:uid="{0D1B83D0-37E3-4FDB-A93C-7E7ED712FFF6}" name="T5_" dataDxfId="51">
      <calculatedColumnFormula>RIGHT(Delivery_plan_24!$E9,5)</calculatedColumnFormula>
    </tableColumn>
    <tableColumn id="6" xr3:uid="{5285BF82-5A66-4E0B-9704-7213EE163CED}" name="SNR" dataDxfId="50"/>
    <tableColumn id="7" xr3:uid="{A4E76530-9A19-4FD9-945A-4AB7CACFF7C5}" name="Bezeichnung" dataDxfId="49"/>
    <tableColumn id="8" xr3:uid="{ABFE21FA-AAAE-491B-A2B4-EEE6D86A4227}" name="LTM ID" dataDxfId="48"/>
    <tableColumn id="9" xr3:uid="{45A0AFBF-DE10-42EE-BAEC-6FBA96B37270}" name="Z-Bereich" dataDxfId="47"/>
    <tableColumn id="10" xr3:uid="{4C078F00-736E-4FF6-BB52-4D7A824B4298}" name="Quelle" dataDxfId="46"/>
    <tableColumn id="11" xr3:uid="{DCF8E0A8-29E7-4507-BE9F-BC9BC05527BB}" name="BT-Lieferant" dataDxfId="45"/>
    <tableColumn id="12" xr3:uid="{53ED2F4B-D40A-4BE9-8BC7-5374BE0D4850}" name="automatisiert/_x000a_manuell" dataDxfId="44"/>
    <tableColumn id="13" xr3:uid="{E297CE7E-092D-4881-98BF-46AD294B95AD}" name="Senke" dataDxfId="43"/>
    <tableColumn id="14" xr3:uid="{4B3CF639-18E3-471D-BE3E-A3CEC5BADCF8}" name="automatisiert/_x000a_manuell2" dataDxfId="42"/>
    <tableColumn id="15" xr3:uid="{B8D42488-8432-453A-BF48-C0960835E4AC}" name="L" dataDxfId="41"/>
    <tableColumn id="16" xr3:uid="{6DB3BD29-637E-427C-897C-4EDA8D48CFA8}" name="B" dataDxfId="40"/>
    <tableColumn id="17" xr3:uid="{4B592712-ABA4-4FB4-A801-DBDFCA45F276}" name="H" dataDxfId="39"/>
    <tableColumn id="18" xr3:uid="{2C1B8F9B-84B7-4F01-A867-439B78315B8E}" name="Füllmenge" dataDxfId="38"/>
    <tableColumn id="19" xr3:uid="{F9ABF898-707C-4971-A9FE-599D600E914C}" name="SGS" dataDxfId="37"/>
    <tableColumn id="20" xr3:uid="{7505ADC5-D79C-4045-B080-50CC30D0F003}" name="BANF-Nr." dataDxfId="36"/>
    <tableColumn id="21" xr3:uid="{BCD561B6-6410-41BB-83D6-31A7CBFA3B89}" name="Bestell-Nr." dataDxfId="35"/>
    <tableColumn id="22" xr3:uid="{962B2363-F6D3-4958-A28C-CC33A5B75154}" name="Paket" dataDxfId="34"/>
    <tableColumn id="23" xr3:uid="{56EA0A0A-68ED-4B03-9016-6FCF662E1B40}" name="Bestellmenge" dataDxfId="33"/>
    <tableColumn id="24" xr3:uid="{EAD3FB3A-C171-4D48-9CFD-BBB405E12623}" name="LT-Lieferant" dataDxfId="32"/>
    <tableColumn id="25" xr3:uid="{4EDF7B73-3BBD-4656-91DB-B68DD2874E77}" name="Planer" dataDxfId="31"/>
    <tableColumn id="26" xr3:uid="{507D221D-B547-4A85-87FF-A29A92799F79}" name="Verzug ja/nein " dataDxfId="30">
      <calculatedColumnFormula>IF(Delivery_plan_24!$AG9= " ", " ",IF(AND(Delivery_plan_24!$AG9&gt;0,AG9= ""), " Ja", "Nein"))</calculatedColumnFormula>
    </tableColumn>
    <tableColumn id="27" xr3:uid="{0CE7B69C-76C3-4C03-9C38-BEBF4FFCEBA4}" name="abge-schlos-sen" dataDxfId="29">
      <calculatedColumnFormula>IF(Delivery_plan_24!$AC9= 0, " ",IF(Delivery_plan_24!$AG9= 100%, "Ja", "Nein"))</calculatedColumnFormula>
    </tableColumn>
    <tableColumn id="28" xr3:uid="{F0D4137E-126A-4633-A330-6D8E20437AFF}" name="Soll Bestellmenge" dataDxfId="28"/>
    <tableColumn id="29" xr3:uid="{E25921BB-73E2-488A-AA37-4A9D6B0224C6}" name="Soll absprache" dataDxfId="27"/>
    <tableColumn id="30" xr3:uid="{79157767-6055-4D3C-B6DA-D57067736745}" name="Ist (Absolute )" dataDxfId="26"/>
    <tableColumn id="31" xr3:uid="{FF0A2D7F-6C4B-423D-BC34-CF9A59EAE094}" name="Offen" dataDxfId="25">
      <calculatedColumnFormula>AC9-AE9</calculatedColumnFormula>
    </tableColumn>
    <tableColumn id="32" xr3:uid="{9258B764-57E4-4496-892D-C67CF41CAC5C}" name="Prozess (in %)" dataDxfId="24">
      <calculatedColumnFormula>IF(ISERROR(Delivery_plan_24!$AE9/Delivery_plan_24!$AC9), " ", Delivery_plan_24!$AE9/Delivery_plan_24!$AC9)</calculatedColumnFormula>
    </tableColumn>
    <tableColumn id="33" xr3:uid="{ACFC8937-DCF4-4474-B260-51D1F730C29A}" name="Email" dataDxfId="23">
      <calculatedColumnFormula>IF(Delivery_plan_24!$Y9="Weidner GmbH","jethavaromil160996@gmail.com",IF(Delivery_plan_24!$Y9="Schneider Transport- und Lagerbehälter GmbH &amp; Co. KG","romiljethava09@gmail.com",IF(Delivery_plan_24!$Y9="Josta Engineering und Vertriebs GmbH","jethavaromil1609@gmail.com",IF(Delivery_plan_24!$Y9="mts Maschinenbau GmbH","jethavaromil@gmail.com"," "))))</calculatedColumnFormula>
    </tableColumn>
    <tableColumn id="34" xr3:uid="{E7A1CEAE-E038-4563-A4E3-492D6D18F8E8}" name="Absolut_verspätung (Woche)" dataDxfId="22"/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A1C7E3-D461-4A5B-877B-B8FEC37B3CB4}" name="Table1" displayName="Table1" ref="AL8:AQ67" totalsRowShown="0">
  <tableColumns count="6">
    <tableColumn id="6" xr3:uid="{46C078B1-9210-4CAD-9947-C0F431C77A8F}" name="LT-Lieferant" dataDxfId="21">
      <calculatedColumnFormula>Table5[[#This Row],[LT-Lieferant]]</calculatedColumnFormula>
    </tableColumn>
    <tableColumn id="1" xr3:uid="{F256D17B-A33E-4A2A-B783-73CF8B2DF389}" name="T5" dataDxfId="20">
      <calculatedColumnFormula>Delivery_plan_24!$E14</calculatedColumnFormula>
    </tableColumn>
    <tableColumn id="2" xr3:uid="{C789DE1A-EF74-4787-93BD-6ED5C03296B3}" name="BANF-Nr." dataDxfId="19">
      <calculatedColumnFormula>Delivery_plan_24!$U14</calculatedColumnFormula>
    </tableColumn>
    <tableColumn id="3" xr3:uid="{5D19A19C-ABEC-4721-883A-F41C9A81A724}" name="Bestell-Nr." dataDxfId="18">
      <calculatedColumnFormula>Delivery_plan_24!$V14</calculatedColumnFormula>
    </tableColumn>
    <tableColumn id="4" xr3:uid="{5EA015FA-0893-4694-9275-2F3D01CC1A92}" name="Offen" dataDxfId="17">
      <calculatedColumnFormula>Delivery_plan_24!$AF14</calculatedColumnFormula>
    </tableColumn>
    <tableColumn id="5" xr3:uid="{402BB9F2-C32E-4989-94BB-E04E234457A4}" name="Email" dataDxfId="16">
      <calculatedColumnFormula>IF(Table1[[#This Row],[Offen]]=" ", " 0 ",Delivery_plan_24!$AH13)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9B23D6-BA3A-43FE-A08D-486E6533E955}" name="Tabelle3" displayName="Tabelle3" ref="AS8:AX67" totalsRowShown="0">
  <sortState xmlns:xlrd2="http://schemas.microsoft.com/office/spreadsheetml/2017/richdata2" ref="AS9:AX67">
    <sortCondition descending="1" ref="AX8:AX67"/>
  </sortState>
  <tableColumns count="6">
    <tableColumn id="5" xr3:uid="{D9960006-CDA3-4984-A80D-201E46CF25B1}" name="T5" dataDxfId="15">
      <calculatedColumnFormula>Table5[[#This Row],[T5_]]</calculatedColumnFormula>
    </tableColumn>
    <tableColumn id="1" xr3:uid="{6282FFAA-BF4F-4831-866E-89CE11CECEC7}" name="Muster/Umbau/Reklamation"/>
    <tableColumn id="2" xr3:uid="{15F5FD52-C180-4F05-A845-BD2611FAEF23}" name="Factor" dataDxfId="14">
      <calculatedColumnFormula>IF(AT9="Umbau", 0.3, IF(AT9= "Reklamation", 0.5, IF(AT9="Muster r", 0.2,0)))</calculatedColumnFormula>
    </tableColumn>
    <tableColumn id="3" xr3:uid="{B665DD41-3EA9-4536-9616-00D76FAE2501}" name="How many days" dataDxfId="13"/>
    <tableColumn id="7" xr3:uid="{C1318643-E7DE-48E9-AF68-B90A0EC1A874}" name="Volumn*Menge" dataDxfId="12">
      <calculatedColumnFormula>Table5[[#This Row],[L]]*Table5[[#This Row],[B]]*Table5[[#This Row],[H]]*Table5[[#This Row],[Füllmenge]]/1000000000</calculatedColumnFormula>
    </tableColumn>
    <tableColumn id="8" xr3:uid="{20D09CF9-8D83-4117-B672-22F72FD2E2B4}" name="ß" dataDxfId="11">
      <calculatedColumnFormula>Tabelle3[[#This Row],[Factor]]*Tabelle3[[#This Row],[How many days]]*Tabelle3[[#This Row],[Volumn*Menge]]/100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F513FF-6412-4757-BB72-CE4A95625BB4}" name="Table2" displayName="Table2" ref="B9:B305" totalsRowShown="0" headerRowDxfId="4" dataDxfId="2" headerRowBorderDxfId="3" tableBorderDxfId="1">
  <autoFilter ref="B9:B305" xr:uid="{DDF513FF-6412-4757-BB72-CE4A95625BB4}"/>
  <tableColumns count="1">
    <tableColumn id="1" xr3:uid="{CF1D8CFB-CB4D-4C80-B38A-ECAA43B3D1DC}" name="T5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AppData/Roaming/AppData/Roaming/AppData/Roaming/Microsoft/Excel/Lieferplan_2024_Powerbi.pbix" TargetMode="Externa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brijaltamakuwala1504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5A45F-6D4E-42B3-888B-CD38EF82E0AF}">
  <sheetPr codeName="Sheet1"/>
  <dimension ref="B1:AX186"/>
  <sheetViews>
    <sheetView tabSelected="1" topLeftCell="AI1" zoomScale="86" zoomScaleNormal="70" workbookViewId="0">
      <selection activeCell="AQ7" sqref="AQ7"/>
    </sheetView>
  </sheetViews>
  <sheetFormatPr defaultColWidth="8.88671875" defaultRowHeight="14.4" outlineLevelCol="2" x14ac:dyDescent="0.3"/>
  <cols>
    <col min="2" max="2" width="7" bestFit="1" customWidth="1"/>
    <col min="3" max="3" width="9.6640625" bestFit="1" customWidth="1"/>
    <col min="4" max="4" width="10.6640625" bestFit="1" customWidth="1"/>
    <col min="5" max="5" width="8" bestFit="1" customWidth="1"/>
    <col min="6" max="6" width="6.44140625" customWidth="1" outlineLevel="1"/>
    <col min="7" max="7" width="12.21875" customWidth="1" outlineLevel="1"/>
    <col min="8" max="8" width="41.109375" customWidth="1" outlineLevel="1"/>
    <col min="9" max="9" width="9.33203125" customWidth="1" outlineLevel="1"/>
    <col min="10" max="10" width="11.33203125" customWidth="1" outlineLevel="1"/>
    <col min="11" max="11" width="8.88671875" customWidth="1" outlineLevel="1"/>
    <col min="12" max="12" width="58.109375" customWidth="1" outlineLevel="1"/>
    <col min="13" max="13" width="16" customWidth="1" outlineLevel="1"/>
    <col min="14" max="14" width="8.5546875" customWidth="1" outlineLevel="1"/>
    <col min="15" max="15" width="16" customWidth="1" outlineLevel="1"/>
    <col min="16" max="18" width="5" customWidth="1" outlineLevel="1"/>
    <col min="19" max="19" width="12.109375" customWidth="1" outlineLevel="1"/>
    <col min="20" max="20" width="12.44140625" customWidth="1" outlineLevel="1"/>
    <col min="21" max="21" width="11.21875" bestFit="1" customWidth="1"/>
    <col min="22" max="22" width="12.21875" bestFit="1" customWidth="1"/>
    <col min="23" max="23" width="8.33203125" bestFit="1" customWidth="1"/>
    <col min="24" max="24" width="14.77734375" bestFit="1" customWidth="1"/>
    <col min="25" max="25" width="48.88671875" bestFit="1" customWidth="1"/>
    <col min="26" max="26" width="14.44140625" bestFit="1" customWidth="1"/>
    <col min="27" max="27" width="15.88671875" bestFit="1" customWidth="1"/>
    <col min="28" max="28" width="17" bestFit="1" customWidth="1"/>
    <col min="29" max="29" width="20.88671875" bestFit="1" customWidth="1"/>
    <col min="30" max="30" width="15.77734375" bestFit="1" customWidth="1"/>
    <col min="31" max="31" width="15.33203125" bestFit="1" customWidth="1"/>
    <col min="32" max="32" width="8.21875" bestFit="1" customWidth="1"/>
    <col min="33" max="33" width="15.21875" bestFit="1" customWidth="1"/>
    <col min="34" max="34" width="28.44140625" style="88" bestFit="1" customWidth="1"/>
    <col min="35" max="35" width="23.33203125" style="88" bestFit="1" customWidth="1"/>
    <col min="36" max="36" width="7.6640625" customWidth="1"/>
    <col min="37" max="37" width="5" customWidth="1"/>
    <col min="38" max="38" width="48.88671875" customWidth="1" outlineLevel="2"/>
    <col min="39" max="39" width="8" customWidth="1" outlineLevel="2"/>
    <col min="40" max="40" width="11.21875" customWidth="1" outlineLevel="2"/>
    <col min="41" max="41" width="12.21875" customWidth="1" outlineLevel="2"/>
    <col min="42" max="42" width="8.33203125" customWidth="1" outlineLevel="2"/>
    <col min="43" max="43" width="28.5546875" customWidth="1" outlineLevel="2"/>
    <col min="44" max="44" width="28.44140625" bestFit="1" customWidth="1"/>
    <col min="49" max="49" width="14.88671875" bestFit="1" customWidth="1"/>
  </cols>
  <sheetData>
    <row r="1" spans="2:50" x14ac:dyDescent="0.3">
      <c r="B1" s="114"/>
      <c r="C1" s="114"/>
      <c r="D1" s="114"/>
      <c r="G1" s="1"/>
      <c r="H1" s="2" t="s">
        <v>247</v>
      </c>
      <c r="I1" s="3" t="s">
        <v>248</v>
      </c>
      <c r="N1">
        <f>WEEKNUM(14.052024)</f>
        <v>2</v>
      </c>
    </row>
    <row r="2" spans="2:50" ht="7.2" customHeight="1" thickBot="1" x14ac:dyDescent="0.35">
      <c r="B2" s="114"/>
      <c r="C2" s="114"/>
      <c r="D2" s="114"/>
      <c r="G2" s="4" t="s">
        <v>246</v>
      </c>
      <c r="H2" s="5"/>
      <c r="I2" s="6">
        <v>2024</v>
      </c>
    </row>
    <row r="3" spans="2:50" ht="15" hidden="1" thickBot="1" x14ac:dyDescent="0.35"/>
    <row r="4" spans="2:50" ht="14.4" customHeight="1" x14ac:dyDescent="0.3">
      <c r="B4" s="105" t="s">
        <v>245</v>
      </c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7"/>
      <c r="AH4" s="99" t="s">
        <v>284</v>
      </c>
      <c r="AI4" s="100"/>
      <c r="AJ4" s="18"/>
      <c r="AR4" s="98"/>
    </row>
    <row r="5" spans="2:50" ht="14.4" customHeight="1" x14ac:dyDescent="0.3">
      <c r="B5" s="108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09"/>
      <c r="AE5" s="109"/>
      <c r="AF5" s="109"/>
      <c r="AG5" s="110"/>
      <c r="AH5" s="101"/>
      <c r="AI5" s="102"/>
      <c r="AJ5" s="18"/>
    </row>
    <row r="6" spans="2:50" ht="14.4" customHeight="1" x14ac:dyDescent="0.3">
      <c r="B6" s="108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09"/>
      <c r="O6" s="109"/>
      <c r="P6" s="109"/>
      <c r="Q6" s="109"/>
      <c r="R6" s="109"/>
      <c r="S6" s="109"/>
      <c r="T6" s="109"/>
      <c r="U6" s="109"/>
      <c r="V6" s="109"/>
      <c r="W6" s="109"/>
      <c r="X6" s="109"/>
      <c r="Y6" s="109"/>
      <c r="Z6" s="109"/>
      <c r="AA6" s="109"/>
      <c r="AB6" s="109"/>
      <c r="AC6" s="109"/>
      <c r="AD6" s="109"/>
      <c r="AE6" s="109"/>
      <c r="AF6" s="109"/>
      <c r="AG6" s="110"/>
      <c r="AH6" s="101"/>
      <c r="AI6" s="102"/>
      <c r="AJ6" s="18"/>
    </row>
    <row r="7" spans="2:50" ht="14.4" customHeight="1" x14ac:dyDescent="0.3">
      <c r="B7" s="111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3"/>
      <c r="AH7" s="103"/>
      <c r="AI7" s="104"/>
      <c r="AJ7" s="18"/>
    </row>
    <row r="8" spans="2:50" ht="28.8" x14ac:dyDescent="0.3">
      <c r="B8" s="58" t="s">
        <v>0</v>
      </c>
      <c r="C8" s="19" t="s">
        <v>1</v>
      </c>
      <c r="D8" s="19" t="s">
        <v>2</v>
      </c>
      <c r="E8" s="19" t="s">
        <v>3</v>
      </c>
      <c r="F8" s="19" t="s">
        <v>250</v>
      </c>
      <c r="G8" s="19" t="s">
        <v>4</v>
      </c>
      <c r="H8" s="19" t="s">
        <v>5</v>
      </c>
      <c r="I8" s="19" t="s">
        <v>6</v>
      </c>
      <c r="J8" s="19" t="s">
        <v>7</v>
      </c>
      <c r="K8" s="19" t="s">
        <v>8</v>
      </c>
      <c r="L8" s="19" t="s">
        <v>9</v>
      </c>
      <c r="M8" s="19" t="s">
        <v>10</v>
      </c>
      <c r="N8" s="19" t="s">
        <v>11</v>
      </c>
      <c r="O8" s="19" t="s">
        <v>238</v>
      </c>
      <c r="P8" s="19" t="s">
        <v>251</v>
      </c>
      <c r="Q8" s="19" t="s">
        <v>252</v>
      </c>
      <c r="R8" s="19" t="s">
        <v>253</v>
      </c>
      <c r="S8" s="19" t="s">
        <v>12</v>
      </c>
      <c r="T8" s="19" t="s">
        <v>13</v>
      </c>
      <c r="U8" s="19" t="s">
        <v>14</v>
      </c>
      <c r="V8" s="19" t="s">
        <v>15</v>
      </c>
      <c r="W8" s="19" t="s">
        <v>16</v>
      </c>
      <c r="X8" s="19" t="s">
        <v>17</v>
      </c>
      <c r="Y8" s="19" t="s">
        <v>18</v>
      </c>
      <c r="Z8" s="19" t="s">
        <v>19</v>
      </c>
      <c r="AA8" s="19" t="s">
        <v>239</v>
      </c>
      <c r="AB8" s="19" t="s">
        <v>240</v>
      </c>
      <c r="AC8" s="20" t="s">
        <v>244</v>
      </c>
      <c r="AD8" s="19" t="s">
        <v>243</v>
      </c>
      <c r="AE8" s="19" t="s">
        <v>258</v>
      </c>
      <c r="AF8" s="19" t="s">
        <v>262</v>
      </c>
      <c r="AG8" s="19" t="s">
        <v>242</v>
      </c>
      <c r="AH8" s="9" t="s">
        <v>259</v>
      </c>
      <c r="AI8" s="89" t="s">
        <v>260</v>
      </c>
      <c r="AL8" t="s">
        <v>18</v>
      </c>
      <c r="AM8" t="s">
        <v>3</v>
      </c>
      <c r="AN8" t="s">
        <v>14</v>
      </c>
      <c r="AO8" t="s">
        <v>15</v>
      </c>
      <c r="AP8" t="s">
        <v>262</v>
      </c>
      <c r="AQ8" t="s">
        <v>259</v>
      </c>
      <c r="AS8" t="s">
        <v>3</v>
      </c>
      <c r="AT8" t="s">
        <v>287</v>
      </c>
      <c r="AU8" t="s">
        <v>288</v>
      </c>
      <c r="AV8" t="s">
        <v>290</v>
      </c>
      <c r="AW8" t="s">
        <v>291</v>
      </c>
      <c r="AX8" s="88" t="s">
        <v>292</v>
      </c>
    </row>
    <row r="9" spans="2:50" x14ac:dyDescent="0.3">
      <c r="B9" s="59">
        <v>1</v>
      </c>
      <c r="C9" s="10" t="s">
        <v>20</v>
      </c>
      <c r="D9" s="10" t="s">
        <v>21</v>
      </c>
      <c r="E9" s="10" t="s">
        <v>22</v>
      </c>
      <c r="F9" s="10" t="str">
        <f>RIGHT(Delivery_plan_24!$E9,5)</f>
        <v>24571</v>
      </c>
      <c r="G9" s="10" t="s">
        <v>23</v>
      </c>
      <c r="H9" s="10" t="s">
        <v>24</v>
      </c>
      <c r="I9" s="10">
        <v>34364</v>
      </c>
      <c r="J9" s="10" t="s">
        <v>25</v>
      </c>
      <c r="K9" s="10" t="s">
        <v>26</v>
      </c>
      <c r="L9" s="10" t="s">
        <v>27</v>
      </c>
      <c r="M9" s="10" t="s">
        <v>28</v>
      </c>
      <c r="N9" s="10" t="s">
        <v>29</v>
      </c>
      <c r="O9" s="10" t="s">
        <v>28</v>
      </c>
      <c r="P9" s="85">
        <v>2400</v>
      </c>
      <c r="Q9" s="10">
        <v>1600</v>
      </c>
      <c r="R9" s="10">
        <v>1500</v>
      </c>
      <c r="S9" s="11">
        <v>7</v>
      </c>
      <c r="T9" s="10" t="s">
        <v>30</v>
      </c>
      <c r="U9" s="12">
        <v>9670595754</v>
      </c>
      <c r="V9" s="12">
        <v>3067365041</v>
      </c>
      <c r="W9" s="10">
        <v>7</v>
      </c>
      <c r="X9" s="10">
        <v>41</v>
      </c>
      <c r="Y9" s="10" t="s">
        <v>31</v>
      </c>
      <c r="Z9" s="10" t="s">
        <v>32</v>
      </c>
      <c r="AA9" s="10" t="str">
        <f>IF(Delivery_plan_24!$AG9= " ", " ",IF(AND(Delivery_plan_24!$AG9&gt;0,AG9= ""), " Ja", "Nein"))</f>
        <v>Nein</v>
      </c>
      <c r="AB9" s="10" t="str">
        <f>IF(Delivery_plan_24!$AC9= 0, " ",IF(Delivery_plan_24!$AG9= 100%, "Ja", "Nein"))</f>
        <v>Nein</v>
      </c>
      <c r="AC9" s="93">
        <v>41</v>
      </c>
      <c r="AD9" s="10">
        <f>Gant_24!$E12</f>
        <v>0</v>
      </c>
      <c r="AE9" s="10">
        <f>SUM(Gant_24!H13:BG13)</f>
        <v>36</v>
      </c>
      <c r="AF9" s="93">
        <f>AC9-AE9</f>
        <v>5</v>
      </c>
      <c r="AG9" s="13">
        <f>IF(ISERROR(Delivery_plan_24!$AE9/Delivery_plan_24!$AC9), " ", Delivery_plan_24!$AE9/Delivery_plan_24!$AC9)</f>
        <v>0.87804878048780488</v>
      </c>
      <c r="AH9" s="92" t="s">
        <v>294</v>
      </c>
      <c r="AI9" s="90">
        <f ca="1">Gant_24!$E$14</f>
        <v>0</v>
      </c>
      <c r="AL9" t="str">
        <f>Table5[[#This Row],[LT-Lieferant]]</f>
        <v>mts Maschinenbau GmbH</v>
      </c>
      <c r="AM9" t="str">
        <f>Delivery_plan_24!$E9</f>
        <v>T524571</v>
      </c>
      <c r="AN9" s="8">
        <f>Delivery_plan_24!$U9</f>
        <v>9670595754</v>
      </c>
      <c r="AO9" s="8">
        <f>Delivery_plan_24!$V9</f>
        <v>3067365041</v>
      </c>
      <c r="AP9" s="7">
        <f>Delivery_plan_24!$AF9</f>
        <v>5</v>
      </c>
      <c r="AQ9" t="str">
        <f>IF(Table1[[#This Row],[Offen]]=" ", " 0 ",Delivery_plan_24!$AH9)</f>
        <v>romiljethava09@gmail.com</v>
      </c>
      <c r="AS9" t="str">
        <f>Table5[[#This Row],[T5_]]</f>
        <v>24571</v>
      </c>
      <c r="AT9" t="s">
        <v>289</v>
      </c>
      <c r="AU9">
        <f t="shared" ref="AU9:AU49" si="0">IF(AT9="Umbau", 0.3, IF(AT9= "Reklamation", 0.5, IF(AT9="Muster",0.2,0)))</f>
        <v>0.2</v>
      </c>
      <c r="AV9">
        <v>767</v>
      </c>
      <c r="AW9">
        <f>Table5[[#This Row],[L]]*Table5[[#This Row],[B]]*Table5[[#This Row],[H]]*Table5[[#This Row],[Füllmenge]]/1000000000</f>
        <v>40.32</v>
      </c>
      <c r="AX9">
        <f>Tabelle3[[#This Row],[Factor]]*Tabelle3[[#This Row],[How many days]]*Tabelle3[[#This Row],[Volumn*Menge]]/100</f>
        <v>61.850880000000004</v>
      </c>
    </row>
    <row r="10" spans="2:50" x14ac:dyDescent="0.3">
      <c r="B10" s="60">
        <v>2</v>
      </c>
      <c r="C10" s="14" t="s">
        <v>20</v>
      </c>
      <c r="D10" s="14" t="s">
        <v>21</v>
      </c>
      <c r="E10" s="14" t="s">
        <v>33</v>
      </c>
      <c r="F10" s="14" t="str">
        <f>RIGHT(Delivery_plan_24!$E10,5)</f>
        <v>24573</v>
      </c>
      <c r="G10" s="14" t="s">
        <v>34</v>
      </c>
      <c r="H10" s="14" t="s">
        <v>35</v>
      </c>
      <c r="I10" s="14">
        <v>34406</v>
      </c>
      <c r="J10" s="14" t="s">
        <v>25</v>
      </c>
      <c r="K10" s="14" t="s">
        <v>26</v>
      </c>
      <c r="L10" s="14" t="s">
        <v>36</v>
      </c>
      <c r="M10" s="14" t="s">
        <v>28</v>
      </c>
      <c r="N10" s="14" t="s">
        <v>29</v>
      </c>
      <c r="O10" s="14" t="s">
        <v>28</v>
      </c>
      <c r="P10" s="86">
        <v>2400</v>
      </c>
      <c r="Q10" s="14">
        <v>1600</v>
      </c>
      <c r="R10" s="14">
        <v>1500</v>
      </c>
      <c r="S10" s="15">
        <v>64</v>
      </c>
      <c r="T10" s="14" t="s">
        <v>37</v>
      </c>
      <c r="U10" s="16">
        <v>9670595753</v>
      </c>
      <c r="V10" s="16">
        <v>3067365051</v>
      </c>
      <c r="W10" s="14">
        <v>6</v>
      </c>
      <c r="X10" s="14">
        <v>16</v>
      </c>
      <c r="Y10" s="14" t="s">
        <v>31</v>
      </c>
      <c r="Z10" s="14" t="s">
        <v>38</v>
      </c>
      <c r="AA10" s="14" t="str">
        <f>IF(Delivery_plan_24!$AG10= " ", " ",IF(AND(Delivery_plan_24!$AG10&gt;0,AG10= ""), " Ja", "Nein"))</f>
        <v>Nein</v>
      </c>
      <c r="AB10" s="14" t="str">
        <f>IF(Delivery_plan_24!$AC10= 0, " ",IF(Delivery_plan_24!$AG10= 100%, "Ja", "Nein"))</f>
        <v>Ja</v>
      </c>
      <c r="AC10" s="94">
        <v>16</v>
      </c>
      <c r="AD10" s="14">
        <f>Gant_24!$E17</f>
        <v>0</v>
      </c>
      <c r="AE10" s="14">
        <f>SUM(Gant_24!H18:BG18)</f>
        <v>16</v>
      </c>
      <c r="AF10" s="93">
        <f t="shared" ref="AF10:AF67" si="1">AC10-AE10</f>
        <v>0</v>
      </c>
      <c r="AG10" s="17">
        <f>IF(ISERROR(Delivery_plan_24!$AE10/Delivery_plan_24!$AC10), " ", Delivery_plan_24!$AE10/Delivery_plan_24!$AC10)</f>
        <v>1</v>
      </c>
      <c r="AH10" s="92" t="s">
        <v>297</v>
      </c>
      <c r="AI10" s="90">
        <f ca="1">Gant_24!$E$19</f>
        <v>0</v>
      </c>
      <c r="AL10" t="str">
        <f>Table5[[#This Row],[LT-Lieferant]]</f>
        <v>mts Maschinenbau GmbH</v>
      </c>
      <c r="AM10" t="str">
        <f>Delivery_plan_24!$E10</f>
        <v>T524573</v>
      </c>
      <c r="AN10" s="8">
        <f>Delivery_plan_24!$U10</f>
        <v>9670595753</v>
      </c>
      <c r="AO10" s="8">
        <f>Delivery_plan_24!$V10</f>
        <v>3067365051</v>
      </c>
      <c r="AP10" s="7">
        <f>Delivery_plan_24!$AF10</f>
        <v>0</v>
      </c>
      <c r="AQ10" t="str">
        <f>IF(Table1[[#This Row],[Offen]]=" ", " 0 ",Delivery_plan_24!$AH10)</f>
        <v>brijaltamakuwala1504@gmail.com</v>
      </c>
      <c r="AS10" t="str">
        <f>Table5[[#This Row],[T5_]]</f>
        <v>24573</v>
      </c>
      <c r="AT10" t="s">
        <v>289</v>
      </c>
      <c r="AU10">
        <f t="shared" si="0"/>
        <v>0.2</v>
      </c>
      <c r="AV10">
        <v>355</v>
      </c>
      <c r="AW10">
        <f>Table5[[#This Row],[L]]*Table5[[#This Row],[B]]*Table5[[#This Row],[H]]*Table5[[#This Row],[Füllmenge]]/1000000000</f>
        <v>368.64</v>
      </c>
      <c r="AX10">
        <f>Tabelle3[[#This Row],[Factor]]*Tabelle3[[#This Row],[How many days]]*Tabelle3[[#This Row],[Volumn*Menge]]/100</f>
        <v>261.73439999999999</v>
      </c>
    </row>
    <row r="11" spans="2:50" x14ac:dyDescent="0.3">
      <c r="B11" s="60">
        <v>3</v>
      </c>
      <c r="C11" s="14" t="s">
        <v>20</v>
      </c>
      <c r="D11" s="14" t="s">
        <v>21</v>
      </c>
      <c r="E11" s="14" t="s">
        <v>39</v>
      </c>
      <c r="F11" s="14" t="str">
        <f>RIGHT(Delivery_plan_24!$E11,5)</f>
        <v>24574</v>
      </c>
      <c r="G11" s="14" t="s">
        <v>40</v>
      </c>
      <c r="H11" s="14" t="s">
        <v>41</v>
      </c>
      <c r="I11" s="14">
        <v>34407</v>
      </c>
      <c r="J11" s="14" t="s">
        <v>25</v>
      </c>
      <c r="K11" s="14" t="s">
        <v>26</v>
      </c>
      <c r="L11" s="14" t="s">
        <v>36</v>
      </c>
      <c r="M11" s="14" t="s">
        <v>28</v>
      </c>
      <c r="N11" s="14" t="s">
        <v>29</v>
      </c>
      <c r="O11" s="14" t="s">
        <v>28</v>
      </c>
      <c r="P11" s="86">
        <v>2400</v>
      </c>
      <c r="Q11" s="14">
        <v>1600</v>
      </c>
      <c r="R11" s="14">
        <v>1500</v>
      </c>
      <c r="S11" s="15">
        <v>64</v>
      </c>
      <c r="T11" s="14" t="s">
        <v>37</v>
      </c>
      <c r="U11" s="16">
        <v>9670595753</v>
      </c>
      <c r="V11" s="16">
        <v>3067365051</v>
      </c>
      <c r="W11" s="14">
        <v>6</v>
      </c>
      <c r="X11" s="14">
        <v>16</v>
      </c>
      <c r="Y11" s="14" t="s">
        <v>31</v>
      </c>
      <c r="Z11" s="14" t="s">
        <v>38</v>
      </c>
      <c r="AA11" s="14" t="str">
        <f>IF(Delivery_plan_24!$AG11= " ", " ",IF(AND(Delivery_plan_24!$AG11&gt;0,AG11= ""), " Ja", "Nein"))</f>
        <v>Nein</v>
      </c>
      <c r="AB11" s="14" t="str">
        <f>IF(Delivery_plan_24!$AC11= 0, " ",IF(Delivery_plan_24!$AG11= 100%, "Ja", "Nein"))</f>
        <v>Ja</v>
      </c>
      <c r="AC11" s="94">
        <v>16</v>
      </c>
      <c r="AD11" s="10">
        <f>Gant_24!$E22</f>
        <v>0</v>
      </c>
      <c r="AE11" s="14">
        <f>SUM(Gant_24!H23:BG23)</f>
        <v>16</v>
      </c>
      <c r="AF11" s="93">
        <f t="shared" si="1"/>
        <v>0</v>
      </c>
      <c r="AG11" s="17">
        <f>IF(ISERROR(Delivery_plan_24!$AE11/Delivery_plan_24!$AC11), " ", Delivery_plan_24!$AE11/Delivery_plan_24!$AC11)</f>
        <v>1</v>
      </c>
      <c r="AH11" s="92" t="s">
        <v>296</v>
      </c>
      <c r="AI11" s="90">
        <f ca="1">Gant_24!$E$24</f>
        <v>0</v>
      </c>
      <c r="AL11" t="str">
        <f>Table5[[#This Row],[LT-Lieferant]]</f>
        <v>mts Maschinenbau GmbH</v>
      </c>
      <c r="AM11" t="str">
        <f>Delivery_plan_24!$E11</f>
        <v>T524574</v>
      </c>
      <c r="AN11" s="8">
        <f>Delivery_plan_24!$U11</f>
        <v>9670595753</v>
      </c>
      <c r="AO11" s="8">
        <f>Delivery_plan_24!$V11</f>
        <v>3067365051</v>
      </c>
      <c r="AP11" s="7">
        <f>Delivery_plan_24!$AF11</f>
        <v>0</v>
      </c>
      <c r="AQ11" t="str">
        <f>IF(Table1[[#This Row],[Offen]]=" ", " 0 ",Delivery_plan_24!$AH11)</f>
        <v>jethavaromil160996@gmail.com</v>
      </c>
      <c r="AS11" t="str">
        <f>Table5[[#This Row],[T5_]]</f>
        <v>24574</v>
      </c>
      <c r="AT11" t="s">
        <v>285</v>
      </c>
      <c r="AU11">
        <f t="shared" si="0"/>
        <v>0.3</v>
      </c>
      <c r="AV11">
        <v>421</v>
      </c>
      <c r="AW11">
        <f>Table5[[#This Row],[L]]*Table5[[#This Row],[B]]*Table5[[#This Row],[H]]*Table5[[#This Row],[Füllmenge]]/1000000000</f>
        <v>368.64</v>
      </c>
      <c r="AX11">
        <f>Tabelle3[[#This Row],[Factor]]*Tabelle3[[#This Row],[How many days]]*Tabelle3[[#This Row],[Volumn*Menge]]/100</f>
        <v>465.59231999999997</v>
      </c>
    </row>
    <row r="12" spans="2:50" x14ac:dyDescent="0.3">
      <c r="B12" s="60">
        <v>4</v>
      </c>
      <c r="C12" s="14" t="s">
        <v>20</v>
      </c>
      <c r="D12" s="14" t="s">
        <v>21</v>
      </c>
      <c r="E12" s="14" t="s">
        <v>42</v>
      </c>
      <c r="F12" s="14" t="str">
        <f>RIGHT(Delivery_plan_24!$E12,5)</f>
        <v>24575</v>
      </c>
      <c r="G12" s="14" t="s">
        <v>43</v>
      </c>
      <c r="H12" s="14" t="s">
        <v>44</v>
      </c>
      <c r="I12" s="14">
        <v>34408</v>
      </c>
      <c r="J12" s="14" t="s">
        <v>25</v>
      </c>
      <c r="K12" s="14" t="s">
        <v>26</v>
      </c>
      <c r="L12" s="14" t="s">
        <v>45</v>
      </c>
      <c r="M12" s="14" t="s">
        <v>28</v>
      </c>
      <c r="N12" s="14" t="s">
        <v>29</v>
      </c>
      <c r="O12" s="14" t="s">
        <v>28</v>
      </c>
      <c r="P12" s="86">
        <v>2400</v>
      </c>
      <c r="Q12" s="14">
        <v>1600</v>
      </c>
      <c r="R12" s="14">
        <v>1000</v>
      </c>
      <c r="S12" s="15">
        <v>8</v>
      </c>
      <c r="T12" s="14" t="s">
        <v>46</v>
      </c>
      <c r="U12" s="16">
        <v>9670595761</v>
      </c>
      <c r="V12" s="16">
        <v>3067365049</v>
      </c>
      <c r="W12" s="14">
        <v>1</v>
      </c>
      <c r="X12" s="14">
        <v>41</v>
      </c>
      <c r="Y12" s="14" t="s">
        <v>47</v>
      </c>
      <c r="Z12" s="14" t="s">
        <v>38</v>
      </c>
      <c r="AA12" s="14" t="str">
        <f>IF(Delivery_plan_24!$AG12= " ", " ",IF(AND(Delivery_plan_24!$AG12&gt;0,AG12= ""), " Ja", "Nein"))</f>
        <v>Nein</v>
      </c>
      <c r="AB12" s="14" t="str">
        <f>IF(Delivery_plan_24!$AC12= 0, " ",IF(Delivery_plan_24!$AG12= 100%, "Ja", "Nein"))</f>
        <v>Ja</v>
      </c>
      <c r="AC12" s="94">
        <v>41</v>
      </c>
      <c r="AD12" s="14">
        <f>Gant_24!$E27</f>
        <v>0</v>
      </c>
      <c r="AE12" s="14">
        <f>SUM(Gant_24!H28:BG28)</f>
        <v>41</v>
      </c>
      <c r="AF12" s="93">
        <f t="shared" si="1"/>
        <v>0</v>
      </c>
      <c r="AG12" s="17">
        <f>IF(ISERROR(Delivery_plan_24!$AE12/Delivery_plan_24!$AC12), " ", Delivery_plan_24!$AE12/Delivery_plan_24!$AC12)</f>
        <v>1</v>
      </c>
      <c r="AH12" s="92" t="s">
        <v>295</v>
      </c>
      <c r="AI12" s="90">
        <f ca="1">Gant_24!$E$29</f>
        <v>0</v>
      </c>
      <c r="AL12" t="str">
        <f>Table5[[#This Row],[LT-Lieferant]]</f>
        <v>Schneider Transport- und Lagerbehälter GmbH &amp; Co. KG</v>
      </c>
      <c r="AM12" t="str">
        <f>Delivery_plan_24!$E12</f>
        <v>T524575</v>
      </c>
      <c r="AN12" s="8">
        <f>Delivery_plan_24!$U12</f>
        <v>9670595761</v>
      </c>
      <c r="AO12" s="8">
        <f>Delivery_plan_24!$V12</f>
        <v>3067365049</v>
      </c>
      <c r="AP12" s="7">
        <f>Delivery_plan_24!$AF12</f>
        <v>0</v>
      </c>
      <c r="AQ12" t="str">
        <f>IF(Table1[[#This Row],[Offen]]=" ", " 0 ",Delivery_plan_24!$AH12)</f>
        <v>jethavaromil1609@gmail.com</v>
      </c>
      <c r="AS12" t="str">
        <f>Table5[[#This Row],[T5_]]</f>
        <v>24575</v>
      </c>
      <c r="AT12" t="s">
        <v>285</v>
      </c>
      <c r="AU12">
        <f t="shared" si="0"/>
        <v>0.3</v>
      </c>
      <c r="AV12">
        <v>244</v>
      </c>
      <c r="AW12">
        <f>Table5[[#This Row],[L]]*Table5[[#This Row],[B]]*Table5[[#This Row],[H]]*Table5[[#This Row],[Füllmenge]]/1000000000</f>
        <v>30.72</v>
      </c>
      <c r="AX12">
        <f>Tabelle3[[#This Row],[Factor]]*Tabelle3[[#This Row],[How many days]]*Tabelle3[[#This Row],[Volumn*Menge]]/100</f>
        <v>22.48704</v>
      </c>
    </row>
    <row r="13" spans="2:50" x14ac:dyDescent="0.3">
      <c r="B13" s="60">
        <v>5</v>
      </c>
      <c r="C13" s="14" t="s">
        <v>20</v>
      </c>
      <c r="D13" s="14" t="s">
        <v>21</v>
      </c>
      <c r="E13" s="14" t="s">
        <v>48</v>
      </c>
      <c r="F13" s="14" t="str">
        <f>RIGHT(Delivery_plan_24!$E13,5)</f>
        <v>24576</v>
      </c>
      <c r="G13" s="14" t="s">
        <v>49</v>
      </c>
      <c r="H13" s="14" t="s">
        <v>50</v>
      </c>
      <c r="I13" s="14">
        <v>34409</v>
      </c>
      <c r="J13" s="14" t="s">
        <v>25</v>
      </c>
      <c r="K13" s="14" t="s">
        <v>26</v>
      </c>
      <c r="L13" s="14" t="s">
        <v>45</v>
      </c>
      <c r="M13" s="14" t="s">
        <v>28</v>
      </c>
      <c r="N13" s="14" t="s">
        <v>29</v>
      </c>
      <c r="O13" s="14" t="s">
        <v>28</v>
      </c>
      <c r="P13" s="86">
        <v>2400</v>
      </c>
      <c r="Q13" s="14">
        <v>1600</v>
      </c>
      <c r="R13" s="14">
        <v>1000</v>
      </c>
      <c r="S13" s="15">
        <v>8</v>
      </c>
      <c r="T13" s="14" t="s">
        <v>46</v>
      </c>
      <c r="U13" s="16">
        <v>9670595761</v>
      </c>
      <c r="V13" s="16">
        <v>3067365049</v>
      </c>
      <c r="W13" s="14">
        <v>1</v>
      </c>
      <c r="X13" s="14">
        <v>41</v>
      </c>
      <c r="Y13" s="14" t="s">
        <v>47</v>
      </c>
      <c r="Z13" s="14" t="s">
        <v>38</v>
      </c>
      <c r="AA13" s="14" t="str">
        <f>IF(Delivery_plan_24!$AG13= " ", " ",IF(AND(Delivery_plan_24!$AG13&gt;0,AG13= ""), " Ja", "Nein"))</f>
        <v>Nein</v>
      </c>
      <c r="AB13" s="14" t="str">
        <f>IF(Delivery_plan_24!$AC13= 0, " ",IF(Delivery_plan_24!$AG13= 100%, "Ja", "Nein"))</f>
        <v>Ja</v>
      </c>
      <c r="AC13" s="94">
        <v>41</v>
      </c>
      <c r="AD13" s="14">
        <f>Gant_24!$E32</f>
        <v>0</v>
      </c>
      <c r="AE13" s="14">
        <f>SUM(Gant_24!H33:BG33)</f>
        <v>41</v>
      </c>
      <c r="AF13" s="93">
        <f t="shared" si="1"/>
        <v>0</v>
      </c>
      <c r="AG13" s="17">
        <f>IF(ISERROR(Delivery_plan_24!$AE13/Delivery_plan_24!$AC13), " ", Delivery_plan_24!$AE13/Delivery_plan_24!$AC13)</f>
        <v>1</v>
      </c>
      <c r="AH13" s="92" t="s">
        <v>295</v>
      </c>
      <c r="AI13" s="90">
        <f ca="1">Gant_24!$E$34</f>
        <v>0</v>
      </c>
      <c r="AL13" t="str">
        <f>Table5[[#This Row],[LT-Lieferant]]</f>
        <v>Schneider Transport- und Lagerbehälter GmbH &amp; Co. KG</v>
      </c>
      <c r="AM13" t="str">
        <f>Delivery_plan_24!$E13</f>
        <v>T524576</v>
      </c>
      <c r="AN13" s="8">
        <f>Delivery_plan_24!$U13</f>
        <v>9670595761</v>
      </c>
      <c r="AO13" s="8">
        <f>Delivery_plan_24!$V13</f>
        <v>3067365049</v>
      </c>
      <c r="AP13" s="7">
        <f>Delivery_plan_24!$AF13</f>
        <v>0</v>
      </c>
      <c r="AQ13" t="str">
        <f>IF(Table1[[#This Row],[Offen]]=" ", " 0 ",Delivery_plan_24!$AH13)</f>
        <v>jethavaromil1609@gmail.com</v>
      </c>
      <c r="AS13" t="str">
        <f>Table5[[#This Row],[T5_]]</f>
        <v>24576</v>
      </c>
      <c r="AT13" t="s">
        <v>286</v>
      </c>
      <c r="AU13">
        <f t="shared" si="0"/>
        <v>0.5</v>
      </c>
      <c r="AV13">
        <v>556</v>
      </c>
      <c r="AW13">
        <f>Table5[[#This Row],[L]]*Table5[[#This Row],[B]]*Table5[[#This Row],[H]]*Table5[[#This Row],[Füllmenge]]/1000000000</f>
        <v>30.72</v>
      </c>
      <c r="AX13">
        <f>Tabelle3[[#This Row],[Factor]]*Tabelle3[[#This Row],[How many days]]*Tabelle3[[#This Row],[Volumn*Menge]]/100</f>
        <v>85.401600000000002</v>
      </c>
    </row>
    <row r="14" spans="2:50" x14ac:dyDescent="0.3">
      <c r="B14" s="60">
        <v>6</v>
      </c>
      <c r="C14" s="14" t="s">
        <v>20</v>
      </c>
      <c r="D14" s="14" t="s">
        <v>51</v>
      </c>
      <c r="E14" s="14" t="s">
        <v>52</v>
      </c>
      <c r="F14" s="14" t="str">
        <f>RIGHT(Delivery_plan_24!$E14,5)</f>
        <v>24578</v>
      </c>
      <c r="G14" s="14" t="s">
        <v>53</v>
      </c>
      <c r="H14" s="14" t="s">
        <v>54</v>
      </c>
      <c r="I14" s="14">
        <v>34365</v>
      </c>
      <c r="J14" s="14" t="s">
        <v>25</v>
      </c>
      <c r="K14" s="14" t="s">
        <v>26</v>
      </c>
      <c r="L14" s="14" t="s">
        <v>55</v>
      </c>
      <c r="M14" s="14" t="s">
        <v>28</v>
      </c>
      <c r="N14" s="14" t="s">
        <v>29</v>
      </c>
      <c r="O14" s="14" t="s">
        <v>28</v>
      </c>
      <c r="P14" s="86">
        <v>2400</v>
      </c>
      <c r="Q14" s="14">
        <v>1600</v>
      </c>
      <c r="R14" s="14">
        <v>1500</v>
      </c>
      <c r="S14" s="15">
        <v>24</v>
      </c>
      <c r="T14" s="14" t="s">
        <v>56</v>
      </c>
      <c r="U14" s="16">
        <v>9670595759</v>
      </c>
      <c r="V14" s="16">
        <v>3067365040</v>
      </c>
      <c r="W14" s="14">
        <v>13</v>
      </c>
      <c r="X14" s="14">
        <v>16</v>
      </c>
      <c r="Y14" s="14" t="s">
        <v>57</v>
      </c>
      <c r="Z14" s="14" t="s">
        <v>38</v>
      </c>
      <c r="AA14" s="14" t="str">
        <f>IF(Delivery_plan_24!$AG14= " ", " ",IF(AND(Delivery_plan_24!$AG14&gt;0,AG14= ""), " Ja", "Nein"))</f>
        <v>Nein</v>
      </c>
      <c r="AB14" s="14" t="str">
        <f>IF(Delivery_plan_24!$AC14= 0, " ",IF(Delivery_plan_24!$AG14= 100%, "Ja", "Nein"))</f>
        <v>Ja</v>
      </c>
      <c r="AC14" s="94">
        <v>16</v>
      </c>
      <c r="AD14" s="10">
        <f>Gant_24!$E37</f>
        <v>0</v>
      </c>
      <c r="AE14" s="14">
        <f>SUM(Gant_24!H38:BG38)</f>
        <v>16</v>
      </c>
      <c r="AF14" s="93">
        <f t="shared" si="1"/>
        <v>0</v>
      </c>
      <c r="AG14" s="17">
        <f>IF(ISERROR(Delivery_plan_24!$AE14/Delivery_plan_24!$AC14), " ", Delivery_plan_24!$AE14/Delivery_plan_24!$AC14)</f>
        <v>1</v>
      </c>
      <c r="AH14" s="92" t="s">
        <v>295</v>
      </c>
      <c r="AI14" s="90">
        <f ca="1">Gant_24!$E$39</f>
        <v>0</v>
      </c>
      <c r="AL14" t="str">
        <f>Table5[[#This Row],[LT-Lieferant]]</f>
        <v>Josta Engineering und Vertriebs GmbH</v>
      </c>
      <c r="AM14" t="str">
        <f>Delivery_plan_24!$E14</f>
        <v>T524578</v>
      </c>
      <c r="AN14" s="8">
        <f>Delivery_plan_24!$U14</f>
        <v>9670595759</v>
      </c>
      <c r="AO14" s="8">
        <f>Delivery_plan_24!$V14</f>
        <v>3067365040</v>
      </c>
      <c r="AP14" s="7">
        <f>Delivery_plan_24!$AF14</f>
        <v>0</v>
      </c>
      <c r="AQ14" t="str">
        <f>IF(Table1[[#This Row],[Offen]]=" ", " 0 ",Delivery_plan_24!$AH14)</f>
        <v>jethavaromil1609@gmail.com</v>
      </c>
      <c r="AS14" t="str">
        <f>Table5[[#This Row],[T5_]]</f>
        <v>24578</v>
      </c>
      <c r="AT14" t="s">
        <v>289</v>
      </c>
      <c r="AU14">
        <f t="shared" si="0"/>
        <v>0.2</v>
      </c>
      <c r="AV14">
        <v>61</v>
      </c>
      <c r="AW14">
        <f>Table5[[#This Row],[L]]*Table5[[#This Row],[B]]*Table5[[#This Row],[H]]*Table5[[#This Row],[Füllmenge]]/1000000000</f>
        <v>138.24</v>
      </c>
      <c r="AX14">
        <f>Tabelle3[[#This Row],[Factor]]*Tabelle3[[#This Row],[How many days]]*Tabelle3[[#This Row],[Volumn*Menge]]/100</f>
        <v>16.865280000000002</v>
      </c>
    </row>
    <row r="15" spans="2:50" x14ac:dyDescent="0.3">
      <c r="B15" s="60">
        <v>7</v>
      </c>
      <c r="C15" s="14" t="s">
        <v>20</v>
      </c>
      <c r="D15" s="14" t="s">
        <v>21</v>
      </c>
      <c r="E15" s="14" t="s">
        <v>58</v>
      </c>
      <c r="F15" s="14" t="str">
        <f>RIGHT(Delivery_plan_24!$E15,5)</f>
        <v>24579</v>
      </c>
      <c r="G15" s="14" t="s">
        <v>59</v>
      </c>
      <c r="H15" s="14" t="s">
        <v>60</v>
      </c>
      <c r="I15" s="14">
        <v>34410</v>
      </c>
      <c r="J15" s="14" t="s">
        <v>25</v>
      </c>
      <c r="K15" s="14" t="s">
        <v>26</v>
      </c>
      <c r="L15" s="14" t="s">
        <v>61</v>
      </c>
      <c r="M15" s="14" t="s">
        <v>28</v>
      </c>
      <c r="N15" s="14" t="s">
        <v>29</v>
      </c>
      <c r="O15" s="14" t="s">
        <v>28</v>
      </c>
      <c r="P15" s="86">
        <v>2400</v>
      </c>
      <c r="Q15" s="14">
        <v>1600</v>
      </c>
      <c r="R15" s="14">
        <v>1500</v>
      </c>
      <c r="S15" s="15">
        <v>27</v>
      </c>
      <c r="T15" s="14" t="s">
        <v>56</v>
      </c>
      <c r="U15" s="16">
        <v>9670595754</v>
      </c>
      <c r="V15" s="16">
        <v>3067365041</v>
      </c>
      <c r="W15" s="14">
        <v>7</v>
      </c>
      <c r="X15" s="14">
        <v>16</v>
      </c>
      <c r="Y15" s="14" t="s">
        <v>31</v>
      </c>
      <c r="Z15" s="14" t="s">
        <v>38</v>
      </c>
      <c r="AA15" s="14" t="str">
        <f>IF(Delivery_plan_24!$AG15= " ", " ",IF(AND(Delivery_plan_24!$AG15&gt;0,AG15= ""), " Ja", "Nein"))</f>
        <v>Nein</v>
      </c>
      <c r="AB15" s="14" t="str">
        <f>IF(Delivery_plan_24!$AC15= 0, " ",IF(Delivery_plan_24!$AG15= 100%, "Ja", "Nein"))</f>
        <v>Ja</v>
      </c>
      <c r="AC15" s="94">
        <v>16</v>
      </c>
      <c r="AD15" s="14">
        <f>Gant_24!$E42</f>
        <v>0</v>
      </c>
      <c r="AE15" s="14">
        <f>SUM(Gant_24!H43:BG43)</f>
        <v>16</v>
      </c>
      <c r="AF15" s="93">
        <f t="shared" si="1"/>
        <v>0</v>
      </c>
      <c r="AG15" s="17">
        <f>IF(ISERROR(Delivery_plan_24!$AE15/Delivery_plan_24!$AC15), " ", Delivery_plan_24!$AE15/Delivery_plan_24!$AC15)</f>
        <v>1</v>
      </c>
      <c r="AH15" s="92" t="s">
        <v>295</v>
      </c>
      <c r="AI15" s="90">
        <f ca="1">Gant_24!$E$44</f>
        <v>0</v>
      </c>
      <c r="AL15" t="str">
        <f>Table5[[#This Row],[LT-Lieferant]]</f>
        <v>mts Maschinenbau GmbH</v>
      </c>
      <c r="AM15" t="str">
        <f>Delivery_plan_24!$E15</f>
        <v>T524579</v>
      </c>
      <c r="AN15" s="8">
        <f>Delivery_plan_24!$U15</f>
        <v>9670595754</v>
      </c>
      <c r="AO15" s="8">
        <f>Delivery_plan_24!$V15</f>
        <v>3067365041</v>
      </c>
      <c r="AP15" s="7">
        <f>Delivery_plan_24!$AF15</f>
        <v>0</v>
      </c>
      <c r="AQ15" t="str">
        <f>IF(Table1[[#This Row],[Offen]]=" ", " 0 ",Delivery_plan_24!$AH15)</f>
        <v>jethavaromil1609@gmail.com</v>
      </c>
      <c r="AS15" t="str">
        <f>Table5[[#This Row],[T5_]]</f>
        <v>24579</v>
      </c>
      <c r="AT15" t="s">
        <v>289</v>
      </c>
      <c r="AU15">
        <f t="shared" si="0"/>
        <v>0.2</v>
      </c>
      <c r="AV15">
        <v>66</v>
      </c>
      <c r="AW15">
        <f>Table5[[#This Row],[L]]*Table5[[#This Row],[B]]*Table5[[#This Row],[H]]*Table5[[#This Row],[Füllmenge]]/1000000000</f>
        <v>155.52000000000001</v>
      </c>
      <c r="AX15">
        <f>Tabelle3[[#This Row],[Factor]]*Tabelle3[[#This Row],[How many days]]*Tabelle3[[#This Row],[Volumn*Menge]]/100</f>
        <v>20.528640000000006</v>
      </c>
    </row>
    <row r="16" spans="2:50" x14ac:dyDescent="0.3">
      <c r="B16" s="60">
        <v>8</v>
      </c>
      <c r="C16" s="14" t="s">
        <v>20</v>
      </c>
      <c r="D16" s="14" t="s">
        <v>21</v>
      </c>
      <c r="E16" s="14" t="s">
        <v>62</v>
      </c>
      <c r="F16" s="14" t="str">
        <f>RIGHT(Delivery_plan_24!$E16,5)</f>
        <v>24569</v>
      </c>
      <c r="G16" s="14" t="s">
        <v>63</v>
      </c>
      <c r="H16" s="14" t="s">
        <v>64</v>
      </c>
      <c r="I16" s="14">
        <v>34451</v>
      </c>
      <c r="J16" s="14" t="s">
        <v>25</v>
      </c>
      <c r="K16" s="14" t="s">
        <v>26</v>
      </c>
      <c r="L16" s="14" t="s">
        <v>61</v>
      </c>
      <c r="M16" s="14" t="s">
        <v>28</v>
      </c>
      <c r="N16" s="14" t="s">
        <v>29</v>
      </c>
      <c r="O16" s="14" t="s">
        <v>28</v>
      </c>
      <c r="P16" s="86">
        <v>2400</v>
      </c>
      <c r="Q16" s="14">
        <v>1600</v>
      </c>
      <c r="R16" s="14">
        <v>1500</v>
      </c>
      <c r="S16" s="15">
        <v>36</v>
      </c>
      <c r="T16" s="14" t="s">
        <v>37</v>
      </c>
      <c r="U16" s="16">
        <v>9670595754</v>
      </c>
      <c r="V16" s="16">
        <v>3067365041</v>
      </c>
      <c r="W16" s="14">
        <v>7</v>
      </c>
      <c r="X16" s="14">
        <v>16</v>
      </c>
      <c r="Y16" s="14" t="s">
        <v>31</v>
      </c>
      <c r="Z16" s="14" t="s">
        <v>38</v>
      </c>
      <c r="AA16" s="14" t="str">
        <f>IF(Delivery_plan_24!$AG16= " ", " ",IF(AND(Delivery_plan_24!$AG16&gt;0,AG16= ""), " Ja", "Nein"))</f>
        <v>Nein</v>
      </c>
      <c r="AB16" s="14" t="str">
        <f>IF(Delivery_plan_24!$AC16= 0, " ",IF(Delivery_plan_24!$AG16= 100%, "Ja", "Nein"))</f>
        <v>Ja</v>
      </c>
      <c r="AC16" s="94">
        <v>16</v>
      </c>
      <c r="AD16" s="10">
        <f>Gant_24!$E47</f>
        <v>0</v>
      </c>
      <c r="AE16" s="14">
        <f>SUM(Gant_24!H48:BG48)</f>
        <v>16</v>
      </c>
      <c r="AF16" s="93">
        <f t="shared" si="1"/>
        <v>0</v>
      </c>
      <c r="AG16" s="17">
        <f>IF(ISERROR(Delivery_plan_24!$AE16/Delivery_plan_24!$AC16), " ", Delivery_plan_24!$AE16/Delivery_plan_24!$AC16)</f>
        <v>1</v>
      </c>
      <c r="AH16" s="92" t="s">
        <v>295</v>
      </c>
      <c r="AI16" s="90">
        <f ca="1">Gant_24!$E$49</f>
        <v>0</v>
      </c>
      <c r="AL16" t="str">
        <f>Table5[[#This Row],[LT-Lieferant]]</f>
        <v>mts Maschinenbau GmbH</v>
      </c>
      <c r="AM16" t="str">
        <f>Delivery_plan_24!$E16</f>
        <v>T524569</v>
      </c>
      <c r="AN16" s="8">
        <f>Delivery_plan_24!$U16</f>
        <v>9670595754</v>
      </c>
      <c r="AO16" s="8">
        <f>Delivery_plan_24!$V16</f>
        <v>3067365041</v>
      </c>
      <c r="AP16" s="7">
        <f>Delivery_plan_24!$AF16</f>
        <v>0</v>
      </c>
      <c r="AQ16" t="str">
        <f>IF(Table1[[#This Row],[Offen]]=" ", " 0 ",Delivery_plan_24!$AH16)</f>
        <v>jethavaromil1609@gmail.com</v>
      </c>
      <c r="AS16" t="str">
        <f>Table5[[#This Row],[T5_]]</f>
        <v>24569</v>
      </c>
      <c r="AT16" t="s">
        <v>286</v>
      </c>
      <c r="AU16">
        <f t="shared" si="0"/>
        <v>0.5</v>
      </c>
      <c r="AV16">
        <v>8</v>
      </c>
      <c r="AW16">
        <f>Table5[[#This Row],[L]]*Table5[[#This Row],[B]]*Table5[[#This Row],[H]]*Table5[[#This Row],[Füllmenge]]/1000000000</f>
        <v>207.36</v>
      </c>
      <c r="AX16">
        <f>Tabelle3[[#This Row],[Factor]]*Tabelle3[[#This Row],[How many days]]*Tabelle3[[#This Row],[Volumn*Menge]]/100</f>
        <v>8.2944000000000013</v>
      </c>
    </row>
    <row r="17" spans="2:50" x14ac:dyDescent="0.3">
      <c r="B17" s="60">
        <v>9</v>
      </c>
      <c r="C17" s="14" t="s">
        <v>20</v>
      </c>
      <c r="D17" s="14" t="s">
        <v>21</v>
      </c>
      <c r="E17" s="14" t="s">
        <v>65</v>
      </c>
      <c r="F17" s="14" t="str">
        <f>RIGHT(Delivery_plan_24!$E17,5)</f>
        <v>24586</v>
      </c>
      <c r="G17" s="14" t="s">
        <v>66</v>
      </c>
      <c r="H17" s="14" t="s">
        <v>67</v>
      </c>
      <c r="I17" s="14">
        <v>34412</v>
      </c>
      <c r="J17" s="14" t="s">
        <v>25</v>
      </c>
      <c r="K17" s="14" t="s">
        <v>68</v>
      </c>
      <c r="L17" s="14">
        <v>0</v>
      </c>
      <c r="M17" s="14" t="s">
        <v>28</v>
      </c>
      <c r="N17" s="14" t="s">
        <v>69</v>
      </c>
      <c r="O17" s="14" t="s">
        <v>28</v>
      </c>
      <c r="P17" s="86">
        <v>2400</v>
      </c>
      <c r="Q17" s="14">
        <v>1600</v>
      </c>
      <c r="R17" s="14">
        <v>1200</v>
      </c>
      <c r="S17" s="15">
        <v>1</v>
      </c>
      <c r="T17" s="14" t="s">
        <v>46</v>
      </c>
      <c r="U17" s="16">
        <v>0</v>
      </c>
      <c r="V17" s="16">
        <v>0</v>
      </c>
      <c r="W17" s="14">
        <v>1</v>
      </c>
      <c r="X17" s="14">
        <v>0</v>
      </c>
      <c r="Y17" s="14" t="s">
        <v>47</v>
      </c>
      <c r="Z17" s="14" t="s">
        <v>38</v>
      </c>
      <c r="AA17" s="14" t="str">
        <f>IF(Delivery_plan_24!$AG17= " ", " ",IF(AND(Delivery_plan_24!$AG17&gt;0,AG17= ""), " Ja", "Nein"))</f>
        <v xml:space="preserve"> </v>
      </c>
      <c r="AB17" s="14" t="str">
        <f>IF(Delivery_plan_24!$AC17= 0, " ",IF(Delivery_plan_24!$AG17= 100%, "Ja", "Nein"))</f>
        <v xml:space="preserve"> </v>
      </c>
      <c r="AC17" s="94">
        <v>0</v>
      </c>
      <c r="AD17" s="14">
        <f>Gant_24!$E52</f>
        <v>0</v>
      </c>
      <c r="AE17" s="14">
        <f>SUM(Gant_24!H53:BG53)</f>
        <v>0</v>
      </c>
      <c r="AF17" s="93">
        <f t="shared" si="1"/>
        <v>0</v>
      </c>
      <c r="AG17" s="17" t="str">
        <f>IF(ISERROR(Delivery_plan_24!$AE17/Delivery_plan_24!$AC17), " ", Delivery_plan_24!$AE17/Delivery_plan_24!$AC17)</f>
        <v xml:space="preserve"> </v>
      </c>
      <c r="AH17" s="92" t="s">
        <v>295</v>
      </c>
      <c r="AI17" s="90">
        <f>Gant_24!$E$54</f>
        <v>0</v>
      </c>
      <c r="AL17" t="str">
        <f>Table5[[#This Row],[LT-Lieferant]]</f>
        <v>Schneider Transport- und Lagerbehälter GmbH &amp; Co. KG</v>
      </c>
      <c r="AM17" t="str">
        <f>Delivery_plan_24!$E17</f>
        <v>T524586</v>
      </c>
      <c r="AN17" s="8">
        <f>Delivery_plan_24!$U17</f>
        <v>0</v>
      </c>
      <c r="AO17" s="8">
        <f>Delivery_plan_24!$V17</f>
        <v>0</v>
      </c>
      <c r="AP17" s="7">
        <f>Delivery_plan_24!$AF17</f>
        <v>0</v>
      </c>
      <c r="AQ17" t="str">
        <f>IF(Table1[[#This Row],[Offen]]=" ", " 0 ",Delivery_plan_24!$AH17)</f>
        <v>jethavaromil1609@gmail.com</v>
      </c>
      <c r="AS17" t="str">
        <f>Table5[[#This Row],[T5_]]</f>
        <v>24586</v>
      </c>
      <c r="AT17" t="s">
        <v>289</v>
      </c>
      <c r="AU17">
        <f t="shared" si="0"/>
        <v>0.2</v>
      </c>
      <c r="AV17">
        <v>333</v>
      </c>
      <c r="AW17">
        <f>Table5[[#This Row],[L]]*Table5[[#This Row],[B]]*Table5[[#This Row],[H]]*Table5[[#This Row],[Füllmenge]]/1000000000</f>
        <v>4.6079999999999997</v>
      </c>
      <c r="AX17">
        <f>Tabelle3[[#This Row],[Factor]]*Tabelle3[[#This Row],[How many days]]*Tabelle3[[#This Row],[Volumn*Menge]]/100</f>
        <v>3.0689280000000001</v>
      </c>
    </row>
    <row r="18" spans="2:50" x14ac:dyDescent="0.3">
      <c r="B18" s="60">
        <v>10</v>
      </c>
      <c r="C18" s="14" t="s">
        <v>20</v>
      </c>
      <c r="D18" s="14" t="s">
        <v>21</v>
      </c>
      <c r="E18" s="14" t="s">
        <v>70</v>
      </c>
      <c r="F18" s="14" t="str">
        <f>RIGHT(Delivery_plan_24!$E18,5)</f>
        <v>24587</v>
      </c>
      <c r="G18" s="14" t="s">
        <v>71</v>
      </c>
      <c r="H18" s="14" t="s">
        <v>72</v>
      </c>
      <c r="I18" s="14">
        <v>34366</v>
      </c>
      <c r="J18" s="14" t="s">
        <v>25</v>
      </c>
      <c r="K18" s="14" t="s">
        <v>26</v>
      </c>
      <c r="L18" s="14" t="s">
        <v>73</v>
      </c>
      <c r="M18" s="14" t="s">
        <v>28</v>
      </c>
      <c r="N18" s="14" t="s">
        <v>29</v>
      </c>
      <c r="O18" s="14" t="s">
        <v>28</v>
      </c>
      <c r="P18" s="86">
        <v>2400</v>
      </c>
      <c r="Q18" s="14">
        <v>1600</v>
      </c>
      <c r="R18" s="14">
        <v>1500</v>
      </c>
      <c r="S18" s="15">
        <v>21</v>
      </c>
      <c r="T18" s="14" t="s">
        <v>37</v>
      </c>
      <c r="U18" s="16">
        <v>9670595753</v>
      </c>
      <c r="V18" s="16">
        <v>3067365051</v>
      </c>
      <c r="W18" s="14">
        <v>6</v>
      </c>
      <c r="X18" s="14">
        <v>16</v>
      </c>
      <c r="Y18" s="14" t="s">
        <v>31</v>
      </c>
      <c r="Z18" s="14" t="s">
        <v>38</v>
      </c>
      <c r="AA18" s="14" t="str">
        <f>IF(Delivery_plan_24!$AG18= " ", " ",IF(AND(Delivery_plan_24!$AG18&gt;0,AG18= ""), " Ja", "Nein"))</f>
        <v>Nein</v>
      </c>
      <c r="AB18" s="14" t="str">
        <f>IF(Delivery_plan_24!$AC18= 0, " ",IF(Delivery_plan_24!$AG18= 100%, "Ja", "Nein"))</f>
        <v>Ja</v>
      </c>
      <c r="AC18" s="94">
        <v>16</v>
      </c>
      <c r="AD18" s="10">
        <f>Gant_24!$E57</f>
        <v>0</v>
      </c>
      <c r="AE18" s="14">
        <f>SUM(Gant_24!H58:BG58)</f>
        <v>16</v>
      </c>
      <c r="AF18" s="93">
        <f t="shared" si="1"/>
        <v>0</v>
      </c>
      <c r="AG18" s="17">
        <f>IF(ISERROR(Delivery_plan_24!$AE18/Delivery_plan_24!$AC18), " ", Delivery_plan_24!$AE18/Delivery_plan_24!$AC18)</f>
        <v>1</v>
      </c>
      <c r="AH18" s="92" t="s">
        <v>295</v>
      </c>
      <c r="AI18" s="90">
        <f ca="1">Gant_24!$E$59</f>
        <v>0</v>
      </c>
      <c r="AL18" t="str">
        <f>Table5[[#This Row],[LT-Lieferant]]</f>
        <v>mts Maschinenbau GmbH</v>
      </c>
      <c r="AM18" t="str">
        <f>Delivery_plan_24!$E18</f>
        <v>T524587</v>
      </c>
      <c r="AN18" s="8">
        <f>Delivery_plan_24!$U18</f>
        <v>9670595753</v>
      </c>
      <c r="AO18" s="8">
        <f>Delivery_plan_24!$V18</f>
        <v>3067365051</v>
      </c>
      <c r="AP18" s="7">
        <f>Delivery_plan_24!$AF18</f>
        <v>0</v>
      </c>
      <c r="AQ18" t="str">
        <f>IF(Table1[[#This Row],[Offen]]=" ", " 0 ",Delivery_plan_24!$AH18)</f>
        <v>jethavaromil1609@gmail.com</v>
      </c>
      <c r="AS18" t="str">
        <f>Table5[[#This Row],[T5_]]</f>
        <v>24587</v>
      </c>
      <c r="AT18" t="s">
        <v>285</v>
      </c>
      <c r="AU18">
        <f t="shared" si="0"/>
        <v>0.3</v>
      </c>
      <c r="AV18">
        <v>33</v>
      </c>
      <c r="AW18">
        <f>Table5[[#This Row],[L]]*Table5[[#This Row],[B]]*Table5[[#This Row],[H]]*Table5[[#This Row],[Füllmenge]]/1000000000</f>
        <v>120.96</v>
      </c>
      <c r="AX18">
        <f>Tabelle3[[#This Row],[Factor]]*Tabelle3[[#This Row],[How many days]]*Tabelle3[[#This Row],[Volumn*Menge]]/100</f>
        <v>11.97504</v>
      </c>
    </row>
    <row r="19" spans="2:50" x14ac:dyDescent="0.3">
      <c r="B19" s="60">
        <v>11</v>
      </c>
      <c r="C19" s="14" t="s">
        <v>20</v>
      </c>
      <c r="D19" s="14" t="s">
        <v>21</v>
      </c>
      <c r="E19" s="14" t="s">
        <v>74</v>
      </c>
      <c r="F19" s="14" t="str">
        <f>RIGHT(Delivery_plan_24!$E19,5)</f>
        <v>24581</v>
      </c>
      <c r="G19" s="14" t="s">
        <v>75</v>
      </c>
      <c r="H19" s="14" t="s">
        <v>76</v>
      </c>
      <c r="I19" s="14">
        <v>34367</v>
      </c>
      <c r="J19" s="14" t="s">
        <v>25</v>
      </c>
      <c r="K19" s="14" t="s">
        <v>77</v>
      </c>
      <c r="L19" s="14" t="s">
        <v>78</v>
      </c>
      <c r="M19" s="14" t="s">
        <v>79</v>
      </c>
      <c r="N19" s="14" t="s">
        <v>29</v>
      </c>
      <c r="O19" s="14" t="s">
        <v>79</v>
      </c>
      <c r="P19" s="86">
        <v>1200</v>
      </c>
      <c r="Q19" s="14">
        <v>1000</v>
      </c>
      <c r="R19" s="14">
        <v>750</v>
      </c>
      <c r="S19" s="15">
        <v>60</v>
      </c>
      <c r="T19" s="14" t="s">
        <v>46</v>
      </c>
      <c r="U19" s="16">
        <v>9670595762</v>
      </c>
      <c r="V19" s="16">
        <v>3067365035</v>
      </c>
      <c r="W19" s="14">
        <v>2</v>
      </c>
      <c r="X19" s="14">
        <v>16</v>
      </c>
      <c r="Y19" s="14" t="s">
        <v>47</v>
      </c>
      <c r="Z19" s="14" t="s">
        <v>32</v>
      </c>
      <c r="AA19" s="14" t="str">
        <f>IF(Delivery_plan_24!$AG19= " ", " ",IF(AND(Delivery_plan_24!$AG19&gt;0,AG19= ""), " Ja", "Nein"))</f>
        <v>Nein</v>
      </c>
      <c r="AB19" s="14" t="str">
        <f>IF(Delivery_plan_24!$AC19= 0, " ",IF(Delivery_plan_24!$AG19= 100%, "Ja", "Nein"))</f>
        <v>Nein</v>
      </c>
      <c r="AC19" s="94">
        <v>16</v>
      </c>
      <c r="AD19" s="14">
        <f>Gant_24!$E62</f>
        <v>0</v>
      </c>
      <c r="AE19" s="14">
        <f>SUM(Gant_24!H63:BG63)</f>
        <v>0</v>
      </c>
      <c r="AF19" s="93">
        <f t="shared" si="1"/>
        <v>16</v>
      </c>
      <c r="AG19" s="17">
        <f>IF(ISERROR(Delivery_plan_24!$AE19/Delivery_plan_24!$AC19), " ", Delivery_plan_24!$AE19/Delivery_plan_24!$AC19)</f>
        <v>0</v>
      </c>
      <c r="AH19" s="92" t="s">
        <v>295</v>
      </c>
      <c r="AI19" s="90">
        <f>Gant_24!$E$64</f>
        <v>0</v>
      </c>
      <c r="AL19" t="str">
        <f>Table5[[#This Row],[LT-Lieferant]]</f>
        <v>Schneider Transport- und Lagerbehälter GmbH &amp; Co. KG</v>
      </c>
      <c r="AM19" t="str">
        <f>Delivery_plan_24!$E19</f>
        <v>T524581</v>
      </c>
      <c r="AN19" s="8">
        <f>Delivery_plan_24!$U19</f>
        <v>9670595762</v>
      </c>
      <c r="AO19" s="8">
        <f>Delivery_plan_24!$V19</f>
        <v>3067365035</v>
      </c>
      <c r="AP19" s="7">
        <f>Delivery_plan_24!$AF19</f>
        <v>16</v>
      </c>
      <c r="AQ19" t="str">
        <f>IF(Table1[[#This Row],[Offen]]=" ", " 0 ",Delivery_plan_24!$AH19)</f>
        <v>jethavaromil1609@gmail.com</v>
      </c>
      <c r="AS19" t="str">
        <f>Table5[[#This Row],[T5_]]</f>
        <v>24581</v>
      </c>
      <c r="AT19" t="s">
        <v>289</v>
      </c>
      <c r="AU19">
        <f t="shared" si="0"/>
        <v>0.2</v>
      </c>
      <c r="AV19">
        <v>424</v>
      </c>
      <c r="AW19">
        <f>Table5[[#This Row],[L]]*Table5[[#This Row],[B]]*Table5[[#This Row],[H]]*Table5[[#This Row],[Füllmenge]]/1000000000</f>
        <v>54</v>
      </c>
      <c r="AX19">
        <f>Tabelle3[[#This Row],[Factor]]*Tabelle3[[#This Row],[How many days]]*Tabelle3[[#This Row],[Volumn*Menge]]/100</f>
        <v>45.792000000000009</v>
      </c>
    </row>
    <row r="20" spans="2:50" x14ac:dyDescent="0.3">
      <c r="B20" s="60">
        <v>12</v>
      </c>
      <c r="C20" s="14" t="s">
        <v>20</v>
      </c>
      <c r="D20" s="14" t="s">
        <v>21</v>
      </c>
      <c r="E20" s="14" t="s">
        <v>80</v>
      </c>
      <c r="F20" s="14" t="str">
        <f>RIGHT(Delivery_plan_24!$E20,5)</f>
        <v>24582</v>
      </c>
      <c r="G20" s="14" t="s">
        <v>81</v>
      </c>
      <c r="H20" s="14" t="s">
        <v>82</v>
      </c>
      <c r="I20" s="14">
        <v>34368</v>
      </c>
      <c r="J20" s="14" t="s">
        <v>25</v>
      </c>
      <c r="K20" s="14" t="s">
        <v>77</v>
      </c>
      <c r="L20" s="14" t="s">
        <v>78</v>
      </c>
      <c r="M20" s="14" t="s">
        <v>79</v>
      </c>
      <c r="N20" s="14">
        <v>0</v>
      </c>
      <c r="O20" s="14" t="s">
        <v>79</v>
      </c>
      <c r="P20" s="86">
        <v>1200</v>
      </c>
      <c r="Q20" s="14">
        <v>1000</v>
      </c>
      <c r="R20" s="14">
        <v>750</v>
      </c>
      <c r="S20" s="15">
        <v>30</v>
      </c>
      <c r="T20" s="14" t="s">
        <v>46</v>
      </c>
      <c r="U20" s="16">
        <v>9670595762</v>
      </c>
      <c r="V20" s="16">
        <v>3067365035</v>
      </c>
      <c r="W20" s="14">
        <v>2</v>
      </c>
      <c r="X20" s="14">
        <v>16</v>
      </c>
      <c r="Y20" s="14" t="s">
        <v>47</v>
      </c>
      <c r="Z20" s="14" t="s">
        <v>32</v>
      </c>
      <c r="AA20" s="14" t="str">
        <f>IF(Delivery_plan_24!$AG20= " ", " ",IF(AND(Delivery_plan_24!$AG20&gt;0,AG20= ""), " Ja", "Nein"))</f>
        <v>Nein</v>
      </c>
      <c r="AB20" s="14" t="str">
        <f>IF(Delivery_plan_24!$AC20= 0, " ",IF(Delivery_plan_24!$AG20= 100%, "Ja", "Nein"))</f>
        <v>Nein</v>
      </c>
      <c r="AC20" s="94">
        <v>16</v>
      </c>
      <c r="AD20" s="10">
        <f>Gant_24!$E67</f>
        <v>0</v>
      </c>
      <c r="AE20" s="14">
        <f>SUM(Gant_24!H68:BG68)</f>
        <v>0</v>
      </c>
      <c r="AF20" s="93">
        <f t="shared" si="1"/>
        <v>16</v>
      </c>
      <c r="AG20" s="17">
        <f>IF(ISERROR(Delivery_plan_24!$AE20/Delivery_plan_24!$AC20), " ", Delivery_plan_24!$AE20/Delivery_plan_24!$AC20)</f>
        <v>0</v>
      </c>
      <c r="AH20" s="92" t="s">
        <v>295</v>
      </c>
      <c r="AI20" s="90">
        <f>Gant_24!$E$69</f>
        <v>0</v>
      </c>
      <c r="AL20" t="str">
        <f>Table5[[#This Row],[LT-Lieferant]]</f>
        <v>Schneider Transport- und Lagerbehälter GmbH &amp; Co. KG</v>
      </c>
      <c r="AM20" t="str">
        <f>Delivery_plan_24!$E20</f>
        <v>T524582</v>
      </c>
      <c r="AN20" s="8">
        <f>Delivery_plan_24!$U20</f>
        <v>9670595762</v>
      </c>
      <c r="AO20" s="8">
        <f>Delivery_plan_24!$V20</f>
        <v>3067365035</v>
      </c>
      <c r="AP20" s="7">
        <f>Delivery_plan_24!$AF20</f>
        <v>16</v>
      </c>
      <c r="AQ20" t="str">
        <f>IF(Table1[[#This Row],[Offen]]=" ", " 0 ",Delivery_plan_24!$AH20)</f>
        <v>jethavaromil1609@gmail.com</v>
      </c>
      <c r="AS20" t="str">
        <f>Table5[[#This Row],[T5_]]</f>
        <v>24582</v>
      </c>
      <c r="AT20" t="s">
        <v>285</v>
      </c>
      <c r="AU20">
        <f t="shared" si="0"/>
        <v>0.3</v>
      </c>
      <c r="AV20">
        <v>90</v>
      </c>
      <c r="AW20">
        <f>Table5[[#This Row],[L]]*Table5[[#This Row],[B]]*Table5[[#This Row],[H]]*Table5[[#This Row],[Füllmenge]]/1000000000</f>
        <v>27</v>
      </c>
      <c r="AX20">
        <f>Tabelle3[[#This Row],[Factor]]*Tabelle3[[#This Row],[How many days]]*Tabelle3[[#This Row],[Volumn*Menge]]/100</f>
        <v>7.29</v>
      </c>
    </row>
    <row r="21" spans="2:50" x14ac:dyDescent="0.3">
      <c r="B21" s="60">
        <v>13</v>
      </c>
      <c r="C21" s="14" t="s">
        <v>20</v>
      </c>
      <c r="D21" s="14" t="s">
        <v>21</v>
      </c>
      <c r="E21" s="14" t="s">
        <v>83</v>
      </c>
      <c r="F21" s="14" t="str">
        <f>RIGHT(Delivery_plan_24!$E21,5)</f>
        <v>24589</v>
      </c>
      <c r="G21" s="14" t="s">
        <v>84</v>
      </c>
      <c r="H21" s="14" t="s">
        <v>85</v>
      </c>
      <c r="I21" s="14">
        <v>34370</v>
      </c>
      <c r="J21" s="14" t="s">
        <v>25</v>
      </c>
      <c r="K21" s="14" t="s">
        <v>26</v>
      </c>
      <c r="L21" s="14" t="s">
        <v>86</v>
      </c>
      <c r="M21" s="14" t="s">
        <v>28</v>
      </c>
      <c r="N21" s="14" t="s">
        <v>29</v>
      </c>
      <c r="O21" s="14" t="s">
        <v>28</v>
      </c>
      <c r="P21" s="86">
        <v>2400</v>
      </c>
      <c r="Q21" s="14">
        <v>1800</v>
      </c>
      <c r="R21" s="14">
        <v>1500</v>
      </c>
      <c r="S21" s="15">
        <v>8</v>
      </c>
      <c r="T21" s="14" t="s">
        <v>46</v>
      </c>
      <c r="U21" s="16">
        <v>9670595756</v>
      </c>
      <c r="V21" s="16">
        <v>3067365050</v>
      </c>
      <c r="W21" s="14">
        <v>8</v>
      </c>
      <c r="X21" s="14">
        <v>41</v>
      </c>
      <c r="Y21" s="14" t="s">
        <v>87</v>
      </c>
      <c r="Z21" s="14" t="s">
        <v>38</v>
      </c>
      <c r="AA21" s="14" t="str">
        <f>IF(Delivery_plan_24!$AG21= " ", " ",IF(AND(Delivery_plan_24!$AG21&gt;0,AG21= ""), " Ja", "Nein"))</f>
        <v>Nein</v>
      </c>
      <c r="AB21" s="14" t="str">
        <f>IF(Delivery_plan_24!$AC21= 0, " ",IF(Delivery_plan_24!$AG21= 100%, "Ja", "Nein"))</f>
        <v>Ja</v>
      </c>
      <c r="AC21" s="94">
        <v>41</v>
      </c>
      <c r="AD21" s="14">
        <f>Gant_24!$E72</f>
        <v>0</v>
      </c>
      <c r="AE21" s="14">
        <f>SUM(Gant_24!H73:BG73)</f>
        <v>41</v>
      </c>
      <c r="AF21" s="93">
        <f t="shared" si="1"/>
        <v>0</v>
      </c>
      <c r="AG21" s="17">
        <f>IF(ISERROR(Delivery_plan_24!$AE21/Delivery_plan_24!$AC21), " ", Delivery_plan_24!$AE21/Delivery_plan_24!$AC21)</f>
        <v>1</v>
      </c>
      <c r="AH21" s="92" t="s">
        <v>295</v>
      </c>
      <c r="AI21" s="90">
        <f ca="1">Gant_24!$E$74</f>
        <v>0</v>
      </c>
      <c r="AL21" t="str">
        <f>Table5[[#This Row],[LT-Lieferant]]</f>
        <v>Weidner GmbH</v>
      </c>
      <c r="AM21" t="str">
        <f>Delivery_plan_24!$E21</f>
        <v>T524589</v>
      </c>
      <c r="AN21" s="8">
        <f>Delivery_plan_24!$U21</f>
        <v>9670595756</v>
      </c>
      <c r="AO21" s="8">
        <f>Delivery_plan_24!$V21</f>
        <v>3067365050</v>
      </c>
      <c r="AP21" s="7">
        <f>Delivery_plan_24!$AF21</f>
        <v>0</v>
      </c>
      <c r="AQ21" t="str">
        <f>IF(Table1[[#This Row],[Offen]]=" ", " 0 ",Delivery_plan_24!$AH21)</f>
        <v>jethavaromil1609@gmail.com</v>
      </c>
      <c r="AS21" t="str">
        <f>Table5[[#This Row],[T5_]]</f>
        <v>24589</v>
      </c>
      <c r="AT21" t="s">
        <v>286</v>
      </c>
      <c r="AU21">
        <f t="shared" si="0"/>
        <v>0.5</v>
      </c>
      <c r="AV21">
        <v>53</v>
      </c>
      <c r="AW21">
        <f>Table5[[#This Row],[L]]*Table5[[#This Row],[B]]*Table5[[#This Row],[H]]*Table5[[#This Row],[Füllmenge]]/1000000000</f>
        <v>51.84</v>
      </c>
      <c r="AX21">
        <f>Tabelle3[[#This Row],[Factor]]*Tabelle3[[#This Row],[How many days]]*Tabelle3[[#This Row],[Volumn*Menge]]/100</f>
        <v>13.7376</v>
      </c>
    </row>
    <row r="22" spans="2:50" x14ac:dyDescent="0.3">
      <c r="B22" s="60">
        <v>14</v>
      </c>
      <c r="C22" s="14" t="s">
        <v>20</v>
      </c>
      <c r="D22" s="14" t="s">
        <v>21</v>
      </c>
      <c r="E22" s="14" t="s">
        <v>88</v>
      </c>
      <c r="F22" s="14" t="str">
        <f>RIGHT(Delivery_plan_24!$E22,5)</f>
        <v>24588</v>
      </c>
      <c r="G22" s="14" t="s">
        <v>89</v>
      </c>
      <c r="H22" s="14" t="s">
        <v>90</v>
      </c>
      <c r="I22" s="14">
        <v>34436</v>
      </c>
      <c r="J22" s="14" t="s">
        <v>25</v>
      </c>
      <c r="K22" s="14" t="s">
        <v>26</v>
      </c>
      <c r="L22" s="14" t="s">
        <v>86</v>
      </c>
      <c r="M22" s="14" t="s">
        <v>28</v>
      </c>
      <c r="N22" s="14" t="s">
        <v>29</v>
      </c>
      <c r="O22" s="14" t="s">
        <v>28</v>
      </c>
      <c r="P22" s="86">
        <v>2400</v>
      </c>
      <c r="Q22" s="14">
        <v>1600</v>
      </c>
      <c r="R22" s="14">
        <v>1500</v>
      </c>
      <c r="S22" s="15">
        <v>20</v>
      </c>
      <c r="T22" s="14" t="s">
        <v>56</v>
      </c>
      <c r="U22" s="16">
        <v>9670595759</v>
      </c>
      <c r="V22" s="16">
        <v>3067365040</v>
      </c>
      <c r="W22" s="14">
        <v>13</v>
      </c>
      <c r="X22" s="14">
        <v>16</v>
      </c>
      <c r="Y22" s="14" t="s">
        <v>57</v>
      </c>
      <c r="Z22" s="14" t="s">
        <v>38</v>
      </c>
      <c r="AA22" s="14" t="str">
        <f>IF(Delivery_plan_24!$AG22= " ", " ",IF(AND(Delivery_plan_24!$AG22&gt;0,AG22= ""), " Ja", "Nein"))</f>
        <v>Nein</v>
      </c>
      <c r="AB22" s="14" t="str">
        <f>IF(Delivery_plan_24!$AC22= 0, " ",IF(Delivery_plan_24!$AG22= 100%, "Ja", "Nein"))</f>
        <v>Ja</v>
      </c>
      <c r="AC22" s="94">
        <v>16</v>
      </c>
      <c r="AD22" s="10">
        <f>Gant_24!$E77</f>
        <v>0</v>
      </c>
      <c r="AE22" s="14">
        <f>SUM(Gant_24!H78:BG78)</f>
        <v>16</v>
      </c>
      <c r="AF22" s="93">
        <f t="shared" si="1"/>
        <v>0</v>
      </c>
      <c r="AG22" s="17">
        <f>IF(ISERROR(Delivery_plan_24!$AE22/Delivery_plan_24!$AC22), " ", Delivery_plan_24!$AE22/Delivery_plan_24!$AC22)</f>
        <v>1</v>
      </c>
      <c r="AH22" s="92" t="s">
        <v>295</v>
      </c>
      <c r="AI22" s="90">
        <f ca="1">Gant_24!$E$79</f>
        <v>0</v>
      </c>
      <c r="AL22" t="str">
        <f>Table5[[#This Row],[LT-Lieferant]]</f>
        <v>Josta Engineering und Vertriebs GmbH</v>
      </c>
      <c r="AM22" t="str">
        <f>Delivery_plan_24!$E22</f>
        <v>T524588</v>
      </c>
      <c r="AN22" s="8">
        <f>Delivery_plan_24!$U22</f>
        <v>9670595759</v>
      </c>
      <c r="AO22" s="8">
        <f>Delivery_plan_24!$V22</f>
        <v>3067365040</v>
      </c>
      <c r="AP22" s="7">
        <f>Delivery_plan_24!$AF22</f>
        <v>0</v>
      </c>
      <c r="AQ22" t="str">
        <f>IF(Table1[[#This Row],[Offen]]=" ", " 0 ",Delivery_plan_24!$AH22)</f>
        <v>jethavaromil1609@gmail.com</v>
      </c>
      <c r="AS22" t="str">
        <f>Table5[[#This Row],[T5_]]</f>
        <v>24588</v>
      </c>
      <c r="AT22" t="s">
        <v>285</v>
      </c>
      <c r="AU22">
        <f t="shared" si="0"/>
        <v>0.3</v>
      </c>
      <c r="AV22">
        <v>40</v>
      </c>
      <c r="AW22">
        <f>Table5[[#This Row],[L]]*Table5[[#This Row],[B]]*Table5[[#This Row],[H]]*Table5[[#This Row],[Füllmenge]]/1000000000</f>
        <v>115.2</v>
      </c>
      <c r="AX22">
        <f>Tabelle3[[#This Row],[Factor]]*Tabelle3[[#This Row],[How many days]]*Tabelle3[[#This Row],[Volumn*Menge]]/100</f>
        <v>13.824000000000002</v>
      </c>
    </row>
    <row r="23" spans="2:50" x14ac:dyDescent="0.3">
      <c r="B23" s="60">
        <v>15</v>
      </c>
      <c r="C23" s="14" t="s">
        <v>20</v>
      </c>
      <c r="D23" s="14" t="s">
        <v>21</v>
      </c>
      <c r="E23" s="14" t="s">
        <v>91</v>
      </c>
      <c r="F23" s="14" t="str">
        <f>RIGHT(Delivery_plan_24!$E23,5)</f>
        <v>24599</v>
      </c>
      <c r="G23" s="14" t="s">
        <v>92</v>
      </c>
      <c r="H23" s="14" t="s">
        <v>93</v>
      </c>
      <c r="I23" s="14">
        <v>34371</v>
      </c>
      <c r="J23" s="14" t="s">
        <v>25</v>
      </c>
      <c r="K23" s="14" t="s">
        <v>26</v>
      </c>
      <c r="L23" s="14" t="s">
        <v>86</v>
      </c>
      <c r="M23" s="14" t="s">
        <v>28</v>
      </c>
      <c r="N23" s="14" t="s">
        <v>29</v>
      </c>
      <c r="O23" s="14" t="s">
        <v>28</v>
      </c>
      <c r="P23" s="86">
        <v>2400</v>
      </c>
      <c r="Q23" s="14">
        <v>1600</v>
      </c>
      <c r="R23" s="14">
        <v>1500</v>
      </c>
      <c r="S23" s="15">
        <v>78</v>
      </c>
      <c r="T23" s="14" t="s">
        <v>37</v>
      </c>
      <c r="U23" s="16">
        <v>9670595753</v>
      </c>
      <c r="V23" s="16">
        <v>3067365051</v>
      </c>
      <c r="W23" s="14">
        <v>6</v>
      </c>
      <c r="X23" s="14">
        <v>16</v>
      </c>
      <c r="Y23" s="14" t="s">
        <v>31</v>
      </c>
      <c r="Z23" s="14" t="s">
        <v>38</v>
      </c>
      <c r="AA23" s="14" t="str">
        <f>IF(Delivery_plan_24!$AG23= " ", " ",IF(AND(Delivery_plan_24!$AG23&gt;0,AG23= ""), " Ja", "Nein"))</f>
        <v>Nein</v>
      </c>
      <c r="AB23" s="14" t="str">
        <f>IF(Delivery_plan_24!$AC23= 0, " ",IF(Delivery_plan_24!$AG23= 100%, "Ja", "Nein"))</f>
        <v>Ja</v>
      </c>
      <c r="AC23" s="94">
        <v>16</v>
      </c>
      <c r="AD23" s="14">
        <f>Gant_24!$E82</f>
        <v>0</v>
      </c>
      <c r="AE23" s="14">
        <f>SUM(Gant_24!H83:BG83)</f>
        <v>16</v>
      </c>
      <c r="AF23" s="93">
        <f t="shared" si="1"/>
        <v>0</v>
      </c>
      <c r="AG23" s="17">
        <f>IF(ISERROR(Delivery_plan_24!$AE23/Delivery_plan_24!$AC23), " ", Delivery_plan_24!$AE23/Delivery_plan_24!$AC23)</f>
        <v>1</v>
      </c>
      <c r="AH23" s="92" t="s">
        <v>297</v>
      </c>
      <c r="AI23" s="90">
        <f ca="1">Gant_24!$E$84</f>
        <v>0</v>
      </c>
      <c r="AL23" t="str">
        <f>Table5[[#This Row],[LT-Lieferant]]</f>
        <v>mts Maschinenbau GmbH</v>
      </c>
      <c r="AM23" t="str">
        <f>Delivery_plan_24!$E23</f>
        <v>T524599</v>
      </c>
      <c r="AN23" s="8">
        <f>Delivery_plan_24!$U23</f>
        <v>9670595753</v>
      </c>
      <c r="AO23" s="8">
        <f>Delivery_plan_24!$V23</f>
        <v>3067365051</v>
      </c>
      <c r="AP23" s="7">
        <f>Delivery_plan_24!$AF23</f>
        <v>0</v>
      </c>
      <c r="AQ23" t="str">
        <f>IF(Table1[[#This Row],[Offen]]=" ", " 0 ",Delivery_plan_24!$AH23)</f>
        <v>brijaltamakuwala1504@gmail.com</v>
      </c>
      <c r="AS23" t="str">
        <f>Table5[[#This Row],[T5_]]</f>
        <v>24599</v>
      </c>
      <c r="AT23" t="s">
        <v>286</v>
      </c>
      <c r="AU23">
        <f t="shared" si="0"/>
        <v>0.5</v>
      </c>
      <c r="AV23">
        <v>56</v>
      </c>
      <c r="AW23">
        <f>Table5[[#This Row],[L]]*Table5[[#This Row],[B]]*Table5[[#This Row],[H]]*Table5[[#This Row],[Füllmenge]]/1000000000</f>
        <v>449.28</v>
      </c>
      <c r="AX23">
        <f>Tabelle3[[#This Row],[Factor]]*Tabelle3[[#This Row],[How many days]]*Tabelle3[[#This Row],[Volumn*Menge]]/100</f>
        <v>125.7984</v>
      </c>
    </row>
    <row r="24" spans="2:50" x14ac:dyDescent="0.3">
      <c r="B24" s="60">
        <v>16</v>
      </c>
      <c r="C24" s="14" t="s">
        <v>20</v>
      </c>
      <c r="D24" s="14" t="s">
        <v>21</v>
      </c>
      <c r="E24" s="14" t="s">
        <v>94</v>
      </c>
      <c r="F24" s="14" t="str">
        <f>RIGHT(Delivery_plan_24!$E24,5)</f>
        <v>24583</v>
      </c>
      <c r="G24" s="14" t="s">
        <v>95</v>
      </c>
      <c r="H24" s="14" t="s">
        <v>96</v>
      </c>
      <c r="I24" s="14">
        <v>34397</v>
      </c>
      <c r="J24" s="14" t="s">
        <v>25</v>
      </c>
      <c r="K24" s="14" t="s">
        <v>68</v>
      </c>
      <c r="L24" s="14">
        <v>0</v>
      </c>
      <c r="M24" s="14" t="s">
        <v>28</v>
      </c>
      <c r="N24" s="14" t="s">
        <v>29</v>
      </c>
      <c r="O24" s="14" t="s">
        <v>28</v>
      </c>
      <c r="P24" s="86">
        <v>2400</v>
      </c>
      <c r="Q24" s="14">
        <v>1600</v>
      </c>
      <c r="R24" s="14">
        <v>1500</v>
      </c>
      <c r="S24" s="15">
        <v>8</v>
      </c>
      <c r="T24" s="14" t="s">
        <v>56</v>
      </c>
      <c r="U24" s="16">
        <v>9670595761</v>
      </c>
      <c r="V24" s="16">
        <v>3067365049</v>
      </c>
      <c r="W24" s="14">
        <v>1</v>
      </c>
      <c r="X24" s="14">
        <v>48</v>
      </c>
      <c r="Y24" s="14" t="s">
        <v>47</v>
      </c>
      <c r="Z24" s="14" t="s">
        <v>38</v>
      </c>
      <c r="AA24" s="14" t="str">
        <f>IF(Delivery_plan_24!$AG24= " ", " ",IF(AND(Delivery_plan_24!$AG24&gt;0,AG24= ""), " Ja", "Nein"))</f>
        <v>Nein</v>
      </c>
      <c r="AB24" s="14" t="str">
        <f>IF(Delivery_plan_24!$AC24= 0, " ",IF(Delivery_plan_24!$AG24= 100%, "Ja", "Nein"))</f>
        <v>Nein</v>
      </c>
      <c r="AC24" s="94">
        <v>48</v>
      </c>
      <c r="AD24" s="10">
        <f>Gant_24!$E87</f>
        <v>0</v>
      </c>
      <c r="AE24" s="14">
        <f>SUM(Gant_24!H88:BG88)</f>
        <v>0</v>
      </c>
      <c r="AF24" s="93">
        <f t="shared" si="1"/>
        <v>48</v>
      </c>
      <c r="AG24" s="17">
        <f>IF(ISERROR(Delivery_plan_24!$AE24/Delivery_plan_24!$AC24), " ", Delivery_plan_24!$AE24/Delivery_plan_24!$AC24)</f>
        <v>0</v>
      </c>
      <c r="AH24" s="92" t="s">
        <v>297</v>
      </c>
      <c r="AI24" s="90">
        <f>Gant_24!$E$89</f>
        <v>0</v>
      </c>
      <c r="AL24" t="str">
        <f>Table5[[#This Row],[LT-Lieferant]]</f>
        <v>Schneider Transport- und Lagerbehälter GmbH &amp; Co. KG</v>
      </c>
      <c r="AM24" t="str">
        <f>Delivery_plan_24!$E24</f>
        <v>T524583</v>
      </c>
      <c r="AN24" s="8">
        <f>Delivery_plan_24!$U24</f>
        <v>9670595761</v>
      </c>
      <c r="AO24" s="8">
        <f>Delivery_plan_24!$V24</f>
        <v>3067365049</v>
      </c>
      <c r="AP24" s="7">
        <f>Delivery_plan_24!$AF24</f>
        <v>48</v>
      </c>
      <c r="AQ24" t="str">
        <f>IF(Table1[[#This Row],[Offen]]=" ", " 0 ",Delivery_plan_24!$AH24)</f>
        <v>brijaltamakuwala1504@gmail.com</v>
      </c>
      <c r="AS24" t="str">
        <f>Table5[[#This Row],[T5_]]</f>
        <v>24583</v>
      </c>
      <c r="AT24" t="s">
        <v>285</v>
      </c>
      <c r="AU24">
        <f t="shared" si="0"/>
        <v>0.3</v>
      </c>
      <c r="AV24">
        <v>11</v>
      </c>
      <c r="AW24">
        <f>Table5[[#This Row],[L]]*Table5[[#This Row],[B]]*Table5[[#This Row],[H]]*Table5[[#This Row],[Füllmenge]]/1000000000</f>
        <v>46.08</v>
      </c>
      <c r="AX24">
        <f>Tabelle3[[#This Row],[Factor]]*Tabelle3[[#This Row],[How many days]]*Tabelle3[[#This Row],[Volumn*Menge]]/100</f>
        <v>1.52064</v>
      </c>
    </row>
    <row r="25" spans="2:50" x14ac:dyDescent="0.3">
      <c r="B25" s="60">
        <v>17</v>
      </c>
      <c r="C25" s="14" t="s">
        <v>20</v>
      </c>
      <c r="D25" s="14" t="s">
        <v>21</v>
      </c>
      <c r="E25" s="14" t="s">
        <v>97</v>
      </c>
      <c r="F25" s="14" t="str">
        <f>RIGHT(Delivery_plan_24!$E25,5)</f>
        <v>24584</v>
      </c>
      <c r="G25" s="14" t="s">
        <v>98</v>
      </c>
      <c r="H25" s="14" t="s">
        <v>99</v>
      </c>
      <c r="I25" s="14">
        <v>34398</v>
      </c>
      <c r="J25" s="14" t="s">
        <v>25</v>
      </c>
      <c r="K25" s="14" t="s">
        <v>68</v>
      </c>
      <c r="L25" s="14">
        <v>0</v>
      </c>
      <c r="M25" s="14" t="s">
        <v>28</v>
      </c>
      <c r="N25" s="14" t="s">
        <v>29</v>
      </c>
      <c r="O25" s="14" t="s">
        <v>28</v>
      </c>
      <c r="P25" s="86">
        <v>2400</v>
      </c>
      <c r="Q25" s="14">
        <v>1600</v>
      </c>
      <c r="R25" s="14">
        <v>1500</v>
      </c>
      <c r="S25" s="15">
        <v>8</v>
      </c>
      <c r="T25" s="14" t="s">
        <v>56</v>
      </c>
      <c r="U25" s="16">
        <v>9670595761</v>
      </c>
      <c r="V25" s="16">
        <v>3067365049</v>
      </c>
      <c r="W25" s="14">
        <v>1</v>
      </c>
      <c r="X25" s="14">
        <v>48</v>
      </c>
      <c r="Y25" s="14" t="s">
        <v>47</v>
      </c>
      <c r="Z25" s="14" t="s">
        <v>38</v>
      </c>
      <c r="AA25" s="14" t="str">
        <f>IF(Delivery_plan_24!$AG25= " ", " ",IF(AND(Delivery_plan_24!$AG25&gt;0,AG25= ""), " Ja", "Nein"))</f>
        <v>Nein</v>
      </c>
      <c r="AB25" s="14" t="str">
        <f>IF(Delivery_plan_24!$AC25= 0, " ",IF(Delivery_plan_24!$AG25= 100%, "Ja", "Nein"))</f>
        <v>Nein</v>
      </c>
      <c r="AC25" s="94">
        <v>48</v>
      </c>
      <c r="AD25" s="14">
        <f>Gant_24!$E92</f>
        <v>0</v>
      </c>
      <c r="AE25" s="14">
        <f>SUM(Gant_24!H93:BG93)</f>
        <v>0</v>
      </c>
      <c r="AF25" s="93">
        <f t="shared" si="1"/>
        <v>48</v>
      </c>
      <c r="AG25" s="17">
        <f>IF(ISERROR(Delivery_plan_24!$AE25/Delivery_plan_24!$AC25), " ", Delivery_plan_24!$AE25/Delivery_plan_24!$AC25)</f>
        <v>0</v>
      </c>
      <c r="AH25" s="92" t="s">
        <v>297</v>
      </c>
      <c r="AI25" s="90">
        <f>Gant_24!$E$94</f>
        <v>0</v>
      </c>
      <c r="AL25" t="str">
        <f>Table5[[#This Row],[LT-Lieferant]]</f>
        <v>Schneider Transport- und Lagerbehälter GmbH &amp; Co. KG</v>
      </c>
      <c r="AM25" t="str">
        <f>Delivery_plan_24!$E25</f>
        <v>T524584</v>
      </c>
      <c r="AN25" s="8">
        <f>Delivery_plan_24!$U25</f>
        <v>9670595761</v>
      </c>
      <c r="AO25" s="8">
        <f>Delivery_plan_24!$V25</f>
        <v>3067365049</v>
      </c>
      <c r="AP25" s="7">
        <f>Delivery_plan_24!$AF25</f>
        <v>48</v>
      </c>
      <c r="AQ25" t="str">
        <f>IF(Table1[[#This Row],[Offen]]=" ", " 0 ",Delivery_plan_24!$AH25)</f>
        <v>brijaltamakuwala1504@gmail.com</v>
      </c>
      <c r="AS25" t="str">
        <f>Table5[[#This Row],[T5_]]</f>
        <v>24584</v>
      </c>
      <c r="AT25" t="s">
        <v>289</v>
      </c>
      <c r="AU25">
        <f t="shared" si="0"/>
        <v>0.2</v>
      </c>
      <c r="AV25">
        <v>66</v>
      </c>
      <c r="AW25">
        <f>Table5[[#This Row],[L]]*Table5[[#This Row],[B]]*Table5[[#This Row],[H]]*Table5[[#This Row],[Füllmenge]]/1000000000</f>
        <v>46.08</v>
      </c>
      <c r="AX25">
        <f>Tabelle3[[#This Row],[Factor]]*Tabelle3[[#This Row],[How many days]]*Tabelle3[[#This Row],[Volumn*Menge]]/100</f>
        <v>6.08256</v>
      </c>
    </row>
    <row r="26" spans="2:50" x14ac:dyDescent="0.3">
      <c r="B26" s="60">
        <v>18</v>
      </c>
      <c r="C26" s="14" t="s">
        <v>20</v>
      </c>
      <c r="D26" s="14" t="s">
        <v>21</v>
      </c>
      <c r="E26" s="14" t="s">
        <v>100</v>
      </c>
      <c r="F26" s="14" t="str">
        <f>RIGHT(Delivery_plan_24!$E26,5)</f>
        <v>24609</v>
      </c>
      <c r="G26" s="14" t="s">
        <v>101</v>
      </c>
      <c r="H26" s="14" t="s">
        <v>102</v>
      </c>
      <c r="I26" s="14">
        <v>34399</v>
      </c>
      <c r="J26" s="14" t="s">
        <v>103</v>
      </c>
      <c r="K26" s="14" t="s">
        <v>26</v>
      </c>
      <c r="L26" s="14" t="s">
        <v>55</v>
      </c>
      <c r="M26" s="14" t="s">
        <v>79</v>
      </c>
      <c r="N26" s="14" t="s">
        <v>29</v>
      </c>
      <c r="O26" s="14" t="s">
        <v>28</v>
      </c>
      <c r="P26" s="86">
        <v>2400</v>
      </c>
      <c r="Q26" s="14">
        <v>1600</v>
      </c>
      <c r="R26" s="14">
        <v>1500</v>
      </c>
      <c r="S26" s="15">
        <v>48</v>
      </c>
      <c r="T26" s="14" t="s">
        <v>46</v>
      </c>
      <c r="U26" s="16">
        <v>9670595759</v>
      </c>
      <c r="V26" s="16">
        <v>3067365040</v>
      </c>
      <c r="W26" s="14">
        <v>13</v>
      </c>
      <c r="X26" s="14">
        <v>16</v>
      </c>
      <c r="Y26" s="14" t="s">
        <v>57</v>
      </c>
      <c r="Z26" s="14" t="s">
        <v>104</v>
      </c>
      <c r="AA26" s="14" t="str">
        <f>IF(Delivery_plan_24!$AG26= " ", " ",IF(AND(Delivery_plan_24!$AG26&gt;0,AG26= ""), " Ja", "Nein"))</f>
        <v>Nein</v>
      </c>
      <c r="AB26" s="14" t="str">
        <f>IF(Delivery_plan_24!$AC26= 0, " ",IF(Delivery_plan_24!$AG26= 100%, "Ja", "Nein"))</f>
        <v>Ja</v>
      </c>
      <c r="AC26" s="94">
        <v>16</v>
      </c>
      <c r="AD26" s="10">
        <f>Gant_24!$E97</f>
        <v>4</v>
      </c>
      <c r="AE26" s="14">
        <f>SUM(Gant_24!H98:BG98)</f>
        <v>16</v>
      </c>
      <c r="AF26" s="93">
        <f t="shared" si="1"/>
        <v>0</v>
      </c>
      <c r="AG26" s="17">
        <f>IF(ISERROR(Delivery_plan_24!$AE26/Delivery_plan_24!$AC26), " ", Delivery_plan_24!$AE26/Delivery_plan_24!$AC26)</f>
        <v>1</v>
      </c>
      <c r="AH26" s="92" t="s">
        <v>297</v>
      </c>
      <c r="AI26" s="90">
        <f ca="1">Gant_24!$E$99</f>
        <v>0</v>
      </c>
      <c r="AL26" t="str">
        <f>Table5[[#This Row],[LT-Lieferant]]</f>
        <v>Josta Engineering und Vertriebs GmbH</v>
      </c>
      <c r="AM26" t="str">
        <f>Delivery_plan_24!$E26</f>
        <v>T524609</v>
      </c>
      <c r="AN26" s="8">
        <f>Delivery_plan_24!$U26</f>
        <v>9670595759</v>
      </c>
      <c r="AO26" s="8">
        <f>Delivery_plan_24!$V26</f>
        <v>3067365040</v>
      </c>
      <c r="AP26" s="7">
        <f>Delivery_plan_24!$AF26</f>
        <v>0</v>
      </c>
      <c r="AQ26" t="str">
        <f>IF(Table1[[#This Row],[Offen]]=" ", " 0 ",Delivery_plan_24!$AH26)</f>
        <v>brijaltamakuwala1504@gmail.com</v>
      </c>
      <c r="AS26" t="str">
        <f>Table5[[#This Row],[T5_]]</f>
        <v>24609</v>
      </c>
      <c r="AT26" t="s">
        <v>285</v>
      </c>
      <c r="AU26">
        <f t="shared" si="0"/>
        <v>0.3</v>
      </c>
      <c r="AV26">
        <v>22</v>
      </c>
      <c r="AW26">
        <f>Table5[[#This Row],[L]]*Table5[[#This Row],[B]]*Table5[[#This Row],[H]]*Table5[[#This Row],[Füllmenge]]/1000000000</f>
        <v>276.48</v>
      </c>
      <c r="AX26">
        <f>Tabelle3[[#This Row],[Factor]]*Tabelle3[[#This Row],[How many days]]*Tabelle3[[#This Row],[Volumn*Menge]]/100</f>
        <v>18.247679999999999</v>
      </c>
    </row>
    <row r="27" spans="2:50" x14ac:dyDescent="0.3">
      <c r="B27" s="60">
        <v>19</v>
      </c>
      <c r="C27" s="14" t="s">
        <v>20</v>
      </c>
      <c r="D27" s="14" t="s">
        <v>21</v>
      </c>
      <c r="E27" s="14" t="s">
        <v>105</v>
      </c>
      <c r="F27" s="14" t="str">
        <f>RIGHT(Delivery_plan_24!$E27,5)</f>
        <v>24611</v>
      </c>
      <c r="G27" s="14" t="s">
        <v>106</v>
      </c>
      <c r="H27" s="14" t="s">
        <v>107</v>
      </c>
      <c r="I27" s="14">
        <v>34400</v>
      </c>
      <c r="J27" s="14" t="s">
        <v>103</v>
      </c>
      <c r="K27" s="14" t="s">
        <v>26</v>
      </c>
      <c r="L27" s="14" t="s">
        <v>61</v>
      </c>
      <c r="M27" s="14">
        <v>0</v>
      </c>
      <c r="N27" s="14" t="s">
        <v>29</v>
      </c>
      <c r="O27" s="14" t="s">
        <v>28</v>
      </c>
      <c r="P27" s="86">
        <v>2400</v>
      </c>
      <c r="Q27" s="14">
        <v>1600</v>
      </c>
      <c r="R27" s="14">
        <v>750</v>
      </c>
      <c r="S27" s="15" t="s">
        <v>108</v>
      </c>
      <c r="T27" s="14" t="s">
        <v>46</v>
      </c>
      <c r="U27" s="16">
        <v>9670595765</v>
      </c>
      <c r="V27" s="16">
        <v>3067365046</v>
      </c>
      <c r="W27" s="14">
        <v>16</v>
      </c>
      <c r="X27" s="14">
        <v>41</v>
      </c>
      <c r="Y27" s="14" t="s">
        <v>47</v>
      </c>
      <c r="Z27" s="14" t="s">
        <v>104</v>
      </c>
      <c r="AA27" s="14" t="str">
        <f>IF(Delivery_plan_24!$AG27= " ", " ",IF(AND(Delivery_plan_24!$AG27&gt;0,AG27= ""), " Ja", "Nein"))</f>
        <v>Nein</v>
      </c>
      <c r="AB27" s="14" t="str">
        <f>IF(Delivery_plan_24!$AC27= 0, " ",IF(Delivery_plan_24!$AG27= 100%, "Ja", "Nein"))</f>
        <v>Ja</v>
      </c>
      <c r="AC27" s="94">
        <v>41</v>
      </c>
      <c r="AD27" s="14">
        <f>Gant_24!$E102</f>
        <v>0</v>
      </c>
      <c r="AE27" s="14">
        <f>SUM(Gant_24!H103:BG103)</f>
        <v>41</v>
      </c>
      <c r="AF27" s="93">
        <f t="shared" si="1"/>
        <v>0</v>
      </c>
      <c r="AG27" s="17">
        <f>IF(ISERROR(Delivery_plan_24!$AE27/Delivery_plan_24!$AC27), " ", Delivery_plan_24!$AE27/Delivery_plan_24!$AC27)</f>
        <v>1</v>
      </c>
      <c r="AH27" s="92" t="s">
        <v>297</v>
      </c>
      <c r="AI27" s="90">
        <f ca="1">Gant_24!$E$104</f>
        <v>0</v>
      </c>
      <c r="AL27" t="str">
        <f>Table5[[#This Row],[LT-Lieferant]]</f>
        <v>Schneider Transport- und Lagerbehälter GmbH &amp; Co. KG</v>
      </c>
      <c r="AM27" t="str">
        <f>Delivery_plan_24!$E27</f>
        <v>T524611</v>
      </c>
      <c r="AN27" s="8">
        <f>Delivery_plan_24!$U27</f>
        <v>9670595765</v>
      </c>
      <c r="AO27" s="8">
        <f>Delivery_plan_24!$V27</f>
        <v>3067365046</v>
      </c>
      <c r="AP27" s="7">
        <f>Delivery_plan_24!$AF27</f>
        <v>0</v>
      </c>
      <c r="AQ27" t="str">
        <f>IF(Table1[[#This Row],[Offen]]=" ", " 0 ",Delivery_plan_24!$AH27)</f>
        <v>brijaltamakuwala1504@gmail.com</v>
      </c>
      <c r="AS27" t="str">
        <f>Table5[[#This Row],[T5_]]</f>
        <v>24611</v>
      </c>
      <c r="AT27" t="s">
        <v>286</v>
      </c>
      <c r="AU27">
        <f t="shared" si="0"/>
        <v>0.5</v>
      </c>
      <c r="AV27">
        <v>95</v>
      </c>
      <c r="AW27">
        <f>Table5[[#This Row],[L]]*Table5[[#This Row],[B]]*Table5[[#This Row],[H]]*Table5[[#This Row],[Füllmenge]]/1000000000</f>
        <v>37.44</v>
      </c>
      <c r="AX27">
        <f>Tabelle3[[#This Row],[Factor]]*Tabelle3[[#This Row],[How many days]]*Tabelle3[[#This Row],[Volumn*Menge]]/100</f>
        <v>17.783999999999999</v>
      </c>
    </row>
    <row r="28" spans="2:50" x14ac:dyDescent="0.3">
      <c r="B28" s="60">
        <v>20</v>
      </c>
      <c r="C28" s="14" t="s">
        <v>20</v>
      </c>
      <c r="D28" s="14" t="s">
        <v>21</v>
      </c>
      <c r="E28" s="14" t="s">
        <v>109</v>
      </c>
      <c r="F28" s="14" t="str">
        <f>RIGHT(Delivery_plan_24!$E28,5)</f>
        <v>24591</v>
      </c>
      <c r="G28" s="14" t="s">
        <v>110</v>
      </c>
      <c r="H28" s="14" t="s">
        <v>111</v>
      </c>
      <c r="I28" s="14">
        <v>34401</v>
      </c>
      <c r="J28" s="14" t="s">
        <v>103</v>
      </c>
      <c r="K28" s="14" t="s">
        <v>29</v>
      </c>
      <c r="L28" s="14">
        <v>0</v>
      </c>
      <c r="M28" s="14">
        <v>0</v>
      </c>
      <c r="N28" s="14" t="s">
        <v>29</v>
      </c>
      <c r="O28" s="14" t="s">
        <v>28</v>
      </c>
      <c r="P28" s="86">
        <v>2400</v>
      </c>
      <c r="Q28" s="14">
        <v>1600</v>
      </c>
      <c r="R28" s="14">
        <v>1500</v>
      </c>
      <c r="S28" s="15">
        <v>25</v>
      </c>
      <c r="T28" s="14" t="s">
        <v>30</v>
      </c>
      <c r="U28" s="16">
        <v>9670595751</v>
      </c>
      <c r="V28" s="16">
        <v>3067365045</v>
      </c>
      <c r="W28" s="14">
        <v>3</v>
      </c>
      <c r="X28" s="14">
        <v>0</v>
      </c>
      <c r="Y28" s="14" t="s">
        <v>31</v>
      </c>
      <c r="Z28" s="14" t="s">
        <v>112</v>
      </c>
      <c r="AA28" s="14" t="str">
        <f>IF(Delivery_plan_24!$AG28= " ", " ",IF(AND(Delivery_plan_24!$AG28&gt;0,AG28= ""), " Ja", "Nein"))</f>
        <v xml:space="preserve"> </v>
      </c>
      <c r="AB28" s="14" t="str">
        <f>IF(Delivery_plan_24!$AC28= 0, " ",IF(Delivery_plan_24!$AG28= 100%, "Ja", "Nein"))</f>
        <v xml:space="preserve"> </v>
      </c>
      <c r="AC28" s="94">
        <v>0</v>
      </c>
      <c r="AD28" s="10">
        <f>Gant_24!$E107</f>
        <v>0</v>
      </c>
      <c r="AE28" s="14">
        <f>SUM(Gant_24!H108:BG108)</f>
        <v>0</v>
      </c>
      <c r="AF28" s="93">
        <f t="shared" si="1"/>
        <v>0</v>
      </c>
      <c r="AG28" s="17" t="str">
        <f>IF(ISERROR(Delivery_plan_24!$AE28/Delivery_plan_24!$AC28), " ", Delivery_plan_24!$AE28/Delivery_plan_24!$AC28)</f>
        <v xml:space="preserve"> </v>
      </c>
      <c r="AH28" s="92" t="s">
        <v>297</v>
      </c>
      <c r="AI28" s="90">
        <f>Gant_24!$E$109</f>
        <v>0</v>
      </c>
      <c r="AL28" t="str">
        <f>Table5[[#This Row],[LT-Lieferant]]</f>
        <v>mts Maschinenbau GmbH</v>
      </c>
      <c r="AM28" t="str">
        <f>Delivery_plan_24!$E28</f>
        <v>T524591</v>
      </c>
      <c r="AN28" s="8">
        <f>Delivery_plan_24!$U28</f>
        <v>9670595751</v>
      </c>
      <c r="AO28" s="8">
        <f>Delivery_plan_24!$V28</f>
        <v>3067365045</v>
      </c>
      <c r="AP28" s="7">
        <f>Delivery_plan_24!$AF28</f>
        <v>0</v>
      </c>
      <c r="AQ28" t="str">
        <f>IF(Table1[[#This Row],[Offen]]=" ", " 0 ",Delivery_plan_24!$AH28)</f>
        <v>brijaltamakuwala1504@gmail.com</v>
      </c>
      <c r="AS28" t="str">
        <f>Table5[[#This Row],[T5_]]</f>
        <v>24591</v>
      </c>
      <c r="AT28" t="s">
        <v>289</v>
      </c>
      <c r="AU28">
        <f t="shared" si="0"/>
        <v>0.2</v>
      </c>
      <c r="AV28">
        <v>84</v>
      </c>
      <c r="AW28">
        <f>Table5[[#This Row],[L]]*Table5[[#This Row],[B]]*Table5[[#This Row],[H]]*Table5[[#This Row],[Füllmenge]]/1000000000</f>
        <v>144</v>
      </c>
      <c r="AX28">
        <f>Tabelle3[[#This Row],[Factor]]*Tabelle3[[#This Row],[How many days]]*Tabelle3[[#This Row],[Volumn*Menge]]/100</f>
        <v>24.192000000000004</v>
      </c>
    </row>
    <row r="29" spans="2:50" x14ac:dyDescent="0.3">
      <c r="B29" s="60">
        <v>21</v>
      </c>
      <c r="C29" s="14" t="s">
        <v>20</v>
      </c>
      <c r="D29" s="14" t="s">
        <v>21</v>
      </c>
      <c r="E29" s="14" t="s">
        <v>113</v>
      </c>
      <c r="F29" s="14" t="str">
        <f>RIGHT(Delivery_plan_24!$E29,5)</f>
        <v>24592</v>
      </c>
      <c r="G29" s="14" t="s">
        <v>114</v>
      </c>
      <c r="H29" s="14" t="s">
        <v>115</v>
      </c>
      <c r="I29" s="14">
        <v>34402</v>
      </c>
      <c r="J29" s="14" t="s">
        <v>103</v>
      </c>
      <c r="K29" s="14" t="s">
        <v>29</v>
      </c>
      <c r="L29" s="14">
        <v>0</v>
      </c>
      <c r="M29" s="14">
        <v>0</v>
      </c>
      <c r="N29" s="14" t="s">
        <v>29</v>
      </c>
      <c r="O29" s="14" t="s">
        <v>28</v>
      </c>
      <c r="P29" s="86">
        <v>2400</v>
      </c>
      <c r="Q29" s="14">
        <v>1600</v>
      </c>
      <c r="R29" s="14">
        <v>1500</v>
      </c>
      <c r="S29" s="15">
        <v>25</v>
      </c>
      <c r="T29" s="14" t="s">
        <v>30</v>
      </c>
      <c r="U29" s="16">
        <v>9670595751</v>
      </c>
      <c r="V29" s="16">
        <v>3067365045</v>
      </c>
      <c r="W29" s="14">
        <v>3</v>
      </c>
      <c r="X29" s="14">
        <v>0</v>
      </c>
      <c r="Y29" s="14" t="s">
        <v>31</v>
      </c>
      <c r="Z29" s="14" t="s">
        <v>112</v>
      </c>
      <c r="AA29" s="14" t="str">
        <f>IF(Delivery_plan_24!$AG29= " ", " ",IF(AND(Delivery_plan_24!$AG29&gt;0,AG29= ""), " Ja", "Nein"))</f>
        <v xml:space="preserve"> </v>
      </c>
      <c r="AB29" s="14" t="str">
        <f>IF(Delivery_plan_24!$AC29= 0, " ",IF(Delivery_plan_24!$AG29= 100%, "Ja", "Nein"))</f>
        <v xml:space="preserve"> </v>
      </c>
      <c r="AC29" s="94">
        <v>0</v>
      </c>
      <c r="AD29" s="14">
        <f>Gant_24!$E112</f>
        <v>0</v>
      </c>
      <c r="AE29" s="14">
        <f>SUM(Gant_24!H113:BG113)</f>
        <v>0</v>
      </c>
      <c r="AF29" s="93">
        <f t="shared" si="1"/>
        <v>0</v>
      </c>
      <c r="AG29" s="17" t="str">
        <f>IF(ISERROR(Delivery_plan_24!$AE29/Delivery_plan_24!$AC29), " ", Delivery_plan_24!$AE29/Delivery_plan_24!$AC29)</f>
        <v xml:space="preserve"> </v>
      </c>
      <c r="AH29" s="92" t="s">
        <v>297</v>
      </c>
      <c r="AI29" s="90">
        <f>Gant_24!$E$114</f>
        <v>0</v>
      </c>
      <c r="AL29" t="str">
        <f>Table5[[#This Row],[LT-Lieferant]]</f>
        <v>mts Maschinenbau GmbH</v>
      </c>
      <c r="AM29" t="str">
        <f>Delivery_plan_24!$E29</f>
        <v>T524592</v>
      </c>
      <c r="AN29" s="8">
        <f>Delivery_plan_24!$U29</f>
        <v>9670595751</v>
      </c>
      <c r="AO29" s="8">
        <f>Delivery_plan_24!$V29</f>
        <v>3067365045</v>
      </c>
      <c r="AP29" s="7">
        <f>Delivery_plan_24!$AF29</f>
        <v>0</v>
      </c>
      <c r="AQ29" t="str">
        <f>IF(Table1[[#This Row],[Offen]]=" ", " 0 ",Delivery_plan_24!$AH29)</f>
        <v>brijaltamakuwala1504@gmail.com</v>
      </c>
      <c r="AS29" t="str">
        <f>Table5[[#This Row],[T5_]]</f>
        <v>24592</v>
      </c>
      <c r="AT29" t="s">
        <v>289</v>
      </c>
      <c r="AU29">
        <f t="shared" si="0"/>
        <v>0.2</v>
      </c>
      <c r="AV29">
        <v>34</v>
      </c>
      <c r="AW29">
        <f>Table5[[#This Row],[L]]*Table5[[#This Row],[B]]*Table5[[#This Row],[H]]*Table5[[#This Row],[Füllmenge]]/1000000000</f>
        <v>144</v>
      </c>
      <c r="AX29">
        <f>Tabelle3[[#This Row],[Factor]]*Tabelle3[[#This Row],[How many days]]*Tabelle3[[#This Row],[Volumn*Menge]]/100</f>
        <v>9.7919999999999998</v>
      </c>
    </row>
    <row r="30" spans="2:50" x14ac:dyDescent="0.3">
      <c r="B30" s="60">
        <v>22</v>
      </c>
      <c r="C30" s="14" t="s">
        <v>20</v>
      </c>
      <c r="D30" s="14" t="s">
        <v>21</v>
      </c>
      <c r="E30" s="14" t="s">
        <v>116</v>
      </c>
      <c r="F30" s="14" t="str">
        <f>RIGHT(Delivery_plan_24!$E30,5)</f>
        <v>24593</v>
      </c>
      <c r="G30" s="14" t="s">
        <v>117</v>
      </c>
      <c r="H30" s="14" t="s">
        <v>118</v>
      </c>
      <c r="I30" s="14">
        <v>34403</v>
      </c>
      <c r="J30" s="14" t="s">
        <v>103</v>
      </c>
      <c r="K30" s="14" t="s">
        <v>26</v>
      </c>
      <c r="L30" s="14" t="s">
        <v>119</v>
      </c>
      <c r="M30" s="14">
        <v>0</v>
      </c>
      <c r="N30" s="14" t="s">
        <v>29</v>
      </c>
      <c r="O30" s="14" t="s">
        <v>28</v>
      </c>
      <c r="P30" s="86">
        <v>2400</v>
      </c>
      <c r="Q30" s="14">
        <v>1600</v>
      </c>
      <c r="R30" s="14">
        <v>1500</v>
      </c>
      <c r="S30" s="15">
        <v>18</v>
      </c>
      <c r="T30" s="14" t="s">
        <v>30</v>
      </c>
      <c r="U30" s="16">
        <v>9670595751</v>
      </c>
      <c r="V30" s="16">
        <v>3067365045</v>
      </c>
      <c r="W30" s="14">
        <v>3</v>
      </c>
      <c r="X30" s="14">
        <v>16</v>
      </c>
      <c r="Y30" s="14" t="s">
        <v>31</v>
      </c>
      <c r="Z30" s="14" t="s">
        <v>112</v>
      </c>
      <c r="AA30" s="14" t="str">
        <f>IF(Delivery_plan_24!$AG30= " ", " ",IF(AND(Delivery_plan_24!$AG30&gt;0,AG30= ""), " Ja", "Nein"))</f>
        <v>Nein</v>
      </c>
      <c r="AB30" s="14" t="str">
        <f>IF(Delivery_plan_24!$AC30= 0, " ",IF(Delivery_plan_24!$AG30= 100%, "Ja", "Nein"))</f>
        <v>Nein</v>
      </c>
      <c r="AC30" s="94">
        <v>16</v>
      </c>
      <c r="AD30" s="10">
        <f>Gant_24!$E117</f>
        <v>0</v>
      </c>
      <c r="AE30" s="14">
        <f>SUM(Gant_24!H118:BG118)</f>
        <v>0</v>
      </c>
      <c r="AF30" s="93">
        <f t="shared" si="1"/>
        <v>16</v>
      </c>
      <c r="AG30" s="17">
        <f>IF(ISERROR(Delivery_plan_24!$AE30/Delivery_plan_24!$AC30), " ", Delivery_plan_24!$AE30/Delivery_plan_24!$AC30)</f>
        <v>0</v>
      </c>
      <c r="AH30" s="92" t="s">
        <v>294</v>
      </c>
      <c r="AI30" s="90">
        <f ca="1">Gant_24!$E$119</f>
        <v>0</v>
      </c>
      <c r="AL30" t="str">
        <f>Table5[[#This Row],[LT-Lieferant]]</f>
        <v>mts Maschinenbau GmbH</v>
      </c>
      <c r="AM30" t="str">
        <f>Delivery_plan_24!$E30</f>
        <v>T524593</v>
      </c>
      <c r="AN30" s="8">
        <f>Delivery_plan_24!$U30</f>
        <v>9670595751</v>
      </c>
      <c r="AO30" s="8">
        <f>Delivery_plan_24!$V30</f>
        <v>3067365045</v>
      </c>
      <c r="AP30" s="7">
        <f>Delivery_plan_24!$AF30</f>
        <v>16</v>
      </c>
      <c r="AQ30" t="str">
        <f>IF(Table1[[#This Row],[Offen]]=" ", " 0 ",Delivery_plan_24!$AH30)</f>
        <v>romiljethava09@gmail.com</v>
      </c>
      <c r="AS30" t="str">
        <f>Table5[[#This Row],[T5_]]</f>
        <v>24593</v>
      </c>
      <c r="AT30" t="s">
        <v>285</v>
      </c>
      <c r="AU30">
        <f t="shared" si="0"/>
        <v>0.3</v>
      </c>
      <c r="AV30">
        <v>41</v>
      </c>
      <c r="AW30">
        <f>Table5[[#This Row],[L]]*Table5[[#This Row],[B]]*Table5[[#This Row],[H]]*Table5[[#This Row],[Füllmenge]]/1000000000</f>
        <v>103.68</v>
      </c>
      <c r="AX30">
        <f>Tabelle3[[#This Row],[Factor]]*Tabelle3[[#This Row],[How many days]]*Tabelle3[[#This Row],[Volumn*Menge]]/100</f>
        <v>12.75264</v>
      </c>
    </row>
    <row r="31" spans="2:50" x14ac:dyDescent="0.3">
      <c r="B31" s="60">
        <v>23</v>
      </c>
      <c r="C31" s="14" t="s">
        <v>20</v>
      </c>
      <c r="D31" s="14" t="s">
        <v>21</v>
      </c>
      <c r="E31" s="14" t="s">
        <v>120</v>
      </c>
      <c r="F31" s="14" t="str">
        <f>RIGHT(Delivery_plan_24!$E31,5)</f>
        <v>24594</v>
      </c>
      <c r="G31" s="14" t="s">
        <v>121</v>
      </c>
      <c r="H31" s="14" t="s">
        <v>122</v>
      </c>
      <c r="I31" s="14">
        <v>34404</v>
      </c>
      <c r="J31" s="14" t="s">
        <v>103</v>
      </c>
      <c r="K31" s="14" t="s">
        <v>26</v>
      </c>
      <c r="L31" s="14" t="s">
        <v>119</v>
      </c>
      <c r="M31" s="14">
        <v>0</v>
      </c>
      <c r="N31" s="14" t="s">
        <v>29</v>
      </c>
      <c r="O31" s="14" t="s">
        <v>28</v>
      </c>
      <c r="P31" s="86">
        <v>2400</v>
      </c>
      <c r="Q31" s="14">
        <v>1600</v>
      </c>
      <c r="R31" s="14">
        <v>1500</v>
      </c>
      <c r="S31" s="15">
        <v>18</v>
      </c>
      <c r="T31" s="14" t="s">
        <v>30</v>
      </c>
      <c r="U31" s="16">
        <v>9670595751</v>
      </c>
      <c r="V31" s="16">
        <v>3067365045</v>
      </c>
      <c r="W31" s="14">
        <v>3</v>
      </c>
      <c r="X31" s="14">
        <v>16</v>
      </c>
      <c r="Y31" s="14" t="s">
        <v>31</v>
      </c>
      <c r="Z31" s="14" t="s">
        <v>112</v>
      </c>
      <c r="AA31" s="14" t="str">
        <f>IF(Delivery_plan_24!$AG31= " ", " ",IF(AND(Delivery_plan_24!$AG31&gt;0,AG31= ""), " Ja", "Nein"))</f>
        <v>Nein</v>
      </c>
      <c r="AB31" s="14" t="str">
        <f>IF(Delivery_plan_24!$AC31= 0, " ",IF(Delivery_plan_24!$AG31= 100%, "Ja", "Nein"))</f>
        <v>Nein</v>
      </c>
      <c r="AC31" s="94">
        <v>16</v>
      </c>
      <c r="AD31" s="14">
        <f>Gant_24!$E122</f>
        <v>0</v>
      </c>
      <c r="AE31" s="14">
        <f>SUM(Gant_24!H123:BG123)</f>
        <v>0</v>
      </c>
      <c r="AF31" s="93">
        <f t="shared" si="1"/>
        <v>16</v>
      </c>
      <c r="AG31" s="17">
        <f>IF(ISERROR(Delivery_plan_24!$AE31/Delivery_plan_24!$AC31), " ", Delivery_plan_24!$AE31/Delivery_plan_24!$AC31)</f>
        <v>0</v>
      </c>
      <c r="AH31" s="92" t="s">
        <v>294</v>
      </c>
      <c r="AI31" s="90">
        <f ca="1">Gant_24!$E$124</f>
        <v>0</v>
      </c>
      <c r="AL31" t="str">
        <f>Table5[[#This Row],[LT-Lieferant]]</f>
        <v>mts Maschinenbau GmbH</v>
      </c>
      <c r="AM31" t="str">
        <f>Delivery_plan_24!$E31</f>
        <v>T524594</v>
      </c>
      <c r="AN31" s="8">
        <f>Delivery_plan_24!$U31</f>
        <v>9670595751</v>
      </c>
      <c r="AO31" s="8">
        <f>Delivery_plan_24!$V31</f>
        <v>3067365045</v>
      </c>
      <c r="AP31" s="7">
        <f>Delivery_plan_24!$AF31</f>
        <v>16</v>
      </c>
      <c r="AQ31" t="str">
        <f>IF(Table1[[#This Row],[Offen]]=" ", " 0 ",Delivery_plan_24!$AH31)</f>
        <v>romiljethava09@gmail.com</v>
      </c>
      <c r="AS31" t="str">
        <f>Table5[[#This Row],[T5_]]</f>
        <v>24594</v>
      </c>
      <c r="AT31" t="s">
        <v>286</v>
      </c>
      <c r="AU31">
        <f t="shared" si="0"/>
        <v>0.5</v>
      </c>
      <c r="AV31">
        <v>34</v>
      </c>
      <c r="AW31">
        <f>Table5[[#This Row],[L]]*Table5[[#This Row],[B]]*Table5[[#This Row],[H]]*Table5[[#This Row],[Füllmenge]]/1000000000</f>
        <v>103.68</v>
      </c>
      <c r="AX31">
        <f>Tabelle3[[#This Row],[Factor]]*Tabelle3[[#This Row],[How many days]]*Tabelle3[[#This Row],[Volumn*Menge]]/100</f>
        <v>17.625600000000002</v>
      </c>
    </row>
    <row r="32" spans="2:50" x14ac:dyDescent="0.3">
      <c r="B32" s="60">
        <v>24</v>
      </c>
      <c r="C32" s="14" t="s">
        <v>20</v>
      </c>
      <c r="D32" s="14" t="s">
        <v>21</v>
      </c>
      <c r="E32" s="14" t="s">
        <v>123</v>
      </c>
      <c r="F32" s="14" t="str">
        <f>RIGHT(Delivery_plan_24!$E32,5)</f>
        <v>24595</v>
      </c>
      <c r="G32" s="14" t="s">
        <v>124</v>
      </c>
      <c r="H32" s="14" t="s">
        <v>125</v>
      </c>
      <c r="I32" s="14">
        <v>34444</v>
      </c>
      <c r="J32" s="14" t="s">
        <v>103</v>
      </c>
      <c r="K32" s="14" t="s">
        <v>26</v>
      </c>
      <c r="L32" s="14" t="s">
        <v>55</v>
      </c>
      <c r="M32" s="14" t="s">
        <v>79</v>
      </c>
      <c r="N32" s="14" t="s">
        <v>29</v>
      </c>
      <c r="O32" s="14" t="s">
        <v>28</v>
      </c>
      <c r="P32" s="86">
        <v>2400</v>
      </c>
      <c r="Q32" s="14">
        <v>1600</v>
      </c>
      <c r="R32" s="14">
        <v>1500</v>
      </c>
      <c r="S32" s="15">
        <v>21</v>
      </c>
      <c r="T32" s="14" t="s">
        <v>37</v>
      </c>
      <c r="U32" s="16">
        <v>9670595765</v>
      </c>
      <c r="V32" s="16">
        <v>3067365046</v>
      </c>
      <c r="W32" s="14">
        <v>16</v>
      </c>
      <c r="X32" s="14">
        <v>16</v>
      </c>
      <c r="Y32" s="14" t="s">
        <v>47</v>
      </c>
      <c r="Z32" s="14" t="s">
        <v>112</v>
      </c>
      <c r="AA32" s="14" t="str">
        <f>IF(Delivery_plan_24!$AG32= " ", " ",IF(AND(Delivery_plan_24!$AG32&gt;0,AG32= ""), " Ja", "Nein"))</f>
        <v>Nein</v>
      </c>
      <c r="AB32" s="14" t="str">
        <f>IF(Delivery_plan_24!$AC32= 0, " ",IF(Delivery_plan_24!$AG32= 100%, "Ja", "Nein"))</f>
        <v>Ja</v>
      </c>
      <c r="AC32" s="94">
        <v>16</v>
      </c>
      <c r="AD32" s="10">
        <f>Gant_24!$E127</f>
        <v>0</v>
      </c>
      <c r="AE32" s="14">
        <f>SUM(Gant_24!H128:BG128)</f>
        <v>16</v>
      </c>
      <c r="AF32" s="93">
        <f t="shared" si="1"/>
        <v>0</v>
      </c>
      <c r="AG32" s="17">
        <f>IF(ISERROR(Delivery_plan_24!$AE32/Delivery_plan_24!$AC32), " ", Delivery_plan_24!$AE32/Delivery_plan_24!$AC32)</f>
        <v>1</v>
      </c>
      <c r="AH32" s="92" t="s">
        <v>294</v>
      </c>
      <c r="AI32" s="90">
        <f ca="1">Gant_24!$E$129</f>
        <v>0</v>
      </c>
      <c r="AL32" t="str">
        <f>Table5[[#This Row],[LT-Lieferant]]</f>
        <v>Schneider Transport- und Lagerbehälter GmbH &amp; Co. KG</v>
      </c>
      <c r="AM32" t="str">
        <f>Delivery_plan_24!$E32</f>
        <v>T524595</v>
      </c>
      <c r="AN32" s="8">
        <f>Delivery_plan_24!$U32</f>
        <v>9670595765</v>
      </c>
      <c r="AO32" s="8">
        <f>Delivery_plan_24!$V32</f>
        <v>3067365046</v>
      </c>
      <c r="AP32" s="7">
        <f>Delivery_plan_24!$AF32</f>
        <v>0</v>
      </c>
      <c r="AQ32" t="str">
        <f>IF(Table1[[#This Row],[Offen]]=" ", " 0 ",Delivery_plan_24!$AH32)</f>
        <v>romiljethava09@gmail.com</v>
      </c>
      <c r="AS32" t="str">
        <f>Table5[[#This Row],[T5_]]</f>
        <v>24595</v>
      </c>
      <c r="AT32" t="s">
        <v>285</v>
      </c>
      <c r="AU32">
        <f t="shared" si="0"/>
        <v>0.3</v>
      </c>
      <c r="AV32">
        <v>11</v>
      </c>
      <c r="AW32">
        <f>Table5[[#This Row],[L]]*Table5[[#This Row],[B]]*Table5[[#This Row],[H]]*Table5[[#This Row],[Füllmenge]]/1000000000</f>
        <v>120.96</v>
      </c>
      <c r="AX32">
        <f>Tabelle3[[#This Row],[Factor]]*Tabelle3[[#This Row],[How many days]]*Tabelle3[[#This Row],[Volumn*Menge]]/100</f>
        <v>3.9916799999999997</v>
      </c>
    </row>
    <row r="33" spans="2:50" x14ac:dyDescent="0.3">
      <c r="B33" s="60">
        <v>25</v>
      </c>
      <c r="C33" s="14" t="s">
        <v>20</v>
      </c>
      <c r="D33" s="14" t="s">
        <v>21</v>
      </c>
      <c r="E33" s="14" t="s">
        <v>126</v>
      </c>
      <c r="F33" s="14" t="str">
        <f>RIGHT(Delivery_plan_24!$E33,5)</f>
        <v>24596</v>
      </c>
      <c r="G33" s="14" t="s">
        <v>127</v>
      </c>
      <c r="H33" s="14" t="s">
        <v>128</v>
      </c>
      <c r="I33" s="14">
        <v>34445</v>
      </c>
      <c r="J33" s="14" t="s">
        <v>103</v>
      </c>
      <c r="K33" s="14" t="s">
        <v>26</v>
      </c>
      <c r="L33" s="14" t="s">
        <v>55</v>
      </c>
      <c r="M33" s="14" t="s">
        <v>79</v>
      </c>
      <c r="N33" s="14" t="s">
        <v>29</v>
      </c>
      <c r="O33" s="14" t="s">
        <v>28</v>
      </c>
      <c r="P33" s="86">
        <v>2400</v>
      </c>
      <c r="Q33" s="14">
        <v>1600</v>
      </c>
      <c r="R33" s="14">
        <v>1500</v>
      </c>
      <c r="S33" s="15">
        <v>21</v>
      </c>
      <c r="T33" s="14" t="s">
        <v>37</v>
      </c>
      <c r="U33" s="16">
        <v>9670595765</v>
      </c>
      <c r="V33" s="16">
        <v>3067365046</v>
      </c>
      <c r="W33" s="14">
        <v>16</v>
      </c>
      <c r="X33" s="14">
        <v>16</v>
      </c>
      <c r="Y33" s="14" t="s">
        <v>47</v>
      </c>
      <c r="Z33" s="14" t="s">
        <v>112</v>
      </c>
      <c r="AA33" s="14" t="str">
        <f>IF(Delivery_plan_24!$AG33= " ", " ",IF(AND(Delivery_plan_24!$AG33&gt;0,AG33= ""), " Ja", "Nein"))</f>
        <v>Nein</v>
      </c>
      <c r="AB33" s="14" t="str">
        <f>IF(Delivery_plan_24!$AC33= 0, " ",IF(Delivery_plan_24!$AG33= 100%, "Ja", "Nein"))</f>
        <v>Ja</v>
      </c>
      <c r="AC33" s="94">
        <v>16</v>
      </c>
      <c r="AD33" s="14">
        <f>Gant_24!$E132</f>
        <v>0</v>
      </c>
      <c r="AE33" s="14">
        <f>SUM(Gant_24!H133:BG133)</f>
        <v>16</v>
      </c>
      <c r="AF33" s="93">
        <f t="shared" si="1"/>
        <v>0</v>
      </c>
      <c r="AG33" s="17">
        <f>IF(ISERROR(Delivery_plan_24!$AE33/Delivery_plan_24!$AC33), " ", Delivery_plan_24!$AE33/Delivery_plan_24!$AC33)</f>
        <v>1</v>
      </c>
      <c r="AH33" s="92" t="s">
        <v>294</v>
      </c>
      <c r="AI33" s="90">
        <f ca="1">Gant_24!$E$134</f>
        <v>0</v>
      </c>
      <c r="AL33" t="str">
        <f>Table5[[#This Row],[LT-Lieferant]]</f>
        <v>Schneider Transport- und Lagerbehälter GmbH &amp; Co. KG</v>
      </c>
      <c r="AM33" t="str">
        <f>Delivery_plan_24!$E33</f>
        <v>T524596</v>
      </c>
      <c r="AN33" s="8">
        <f>Delivery_plan_24!$U33</f>
        <v>9670595765</v>
      </c>
      <c r="AO33" s="8">
        <f>Delivery_plan_24!$V33</f>
        <v>3067365046</v>
      </c>
      <c r="AP33" s="7">
        <f>Delivery_plan_24!$AF33</f>
        <v>0</v>
      </c>
      <c r="AQ33" t="str">
        <f>IF(Table1[[#This Row],[Offen]]=" ", " 0 ",Delivery_plan_24!$AH33)</f>
        <v>romiljethava09@gmail.com</v>
      </c>
      <c r="AS33" t="str">
        <f>Table5[[#This Row],[T5_]]</f>
        <v>24596</v>
      </c>
      <c r="AT33" t="s">
        <v>286</v>
      </c>
      <c r="AU33">
        <f t="shared" si="0"/>
        <v>0.5</v>
      </c>
      <c r="AV33">
        <v>8</v>
      </c>
      <c r="AW33">
        <f>Table5[[#This Row],[L]]*Table5[[#This Row],[B]]*Table5[[#This Row],[H]]*Table5[[#This Row],[Füllmenge]]/1000000000</f>
        <v>120.96</v>
      </c>
      <c r="AX33">
        <f>Tabelle3[[#This Row],[Factor]]*Tabelle3[[#This Row],[How many days]]*Tabelle3[[#This Row],[Volumn*Menge]]/100</f>
        <v>4.8384</v>
      </c>
    </row>
    <row r="34" spans="2:50" x14ac:dyDescent="0.3">
      <c r="B34" s="60">
        <v>26</v>
      </c>
      <c r="C34" s="14" t="s">
        <v>20</v>
      </c>
      <c r="D34" s="14" t="s">
        <v>21</v>
      </c>
      <c r="E34" s="14" t="s">
        <v>129</v>
      </c>
      <c r="F34" s="14" t="str">
        <f>RIGHT(Delivery_plan_24!$E34,5)</f>
        <v>24597</v>
      </c>
      <c r="G34" s="14" t="s">
        <v>130</v>
      </c>
      <c r="H34" s="14" t="s">
        <v>131</v>
      </c>
      <c r="I34" s="14">
        <v>34446</v>
      </c>
      <c r="J34" s="14" t="s">
        <v>103</v>
      </c>
      <c r="K34" s="14" t="s">
        <v>26</v>
      </c>
      <c r="L34" s="14" t="s">
        <v>132</v>
      </c>
      <c r="M34" s="14">
        <v>0</v>
      </c>
      <c r="N34" s="14" t="s">
        <v>29</v>
      </c>
      <c r="O34" s="14" t="s">
        <v>28</v>
      </c>
      <c r="P34" s="86">
        <v>2400</v>
      </c>
      <c r="Q34" s="14">
        <v>1600</v>
      </c>
      <c r="R34" s="14">
        <v>1500</v>
      </c>
      <c r="S34" s="15">
        <v>14</v>
      </c>
      <c r="T34" s="14" t="s">
        <v>37</v>
      </c>
      <c r="U34" s="16">
        <v>9670595756</v>
      </c>
      <c r="V34" s="16">
        <v>3067365050</v>
      </c>
      <c r="W34" s="14">
        <v>8</v>
      </c>
      <c r="X34" s="14">
        <v>24</v>
      </c>
      <c r="Y34" s="14" t="s">
        <v>87</v>
      </c>
      <c r="Z34" s="14" t="s">
        <v>112</v>
      </c>
      <c r="AA34" s="14" t="str">
        <f>IF(Delivery_plan_24!$AG34= " ", " ",IF(AND(Delivery_plan_24!$AG34&gt;0,AG34= ""), " Ja", "Nein"))</f>
        <v>Nein</v>
      </c>
      <c r="AB34" s="14" t="str">
        <f>IF(Delivery_plan_24!$AC34= 0, " ",IF(Delivery_plan_24!$AG34= 100%, "Ja", "Nein"))</f>
        <v>Nein</v>
      </c>
      <c r="AC34" s="94">
        <v>24</v>
      </c>
      <c r="AD34" s="10">
        <f>Gant_24!$E137</f>
        <v>8</v>
      </c>
      <c r="AE34" s="14">
        <f>SUM(Gant_24!H137:BG137)</f>
        <v>8</v>
      </c>
      <c r="AF34" s="93">
        <f t="shared" si="1"/>
        <v>16</v>
      </c>
      <c r="AG34" s="17">
        <f>IF(ISERROR(Delivery_plan_24!$AE34/Delivery_plan_24!$AC34), " ", Delivery_plan_24!$AE34/Delivery_plan_24!$AC34)</f>
        <v>0.33333333333333331</v>
      </c>
      <c r="AH34" s="92" t="s">
        <v>294</v>
      </c>
      <c r="AI34" s="90">
        <f ca="1">Gant_24!$E$139</f>
        <v>0</v>
      </c>
      <c r="AL34" t="str">
        <f>Table5[[#This Row],[LT-Lieferant]]</f>
        <v>Weidner GmbH</v>
      </c>
      <c r="AM34" t="str">
        <f>Delivery_plan_24!$E34</f>
        <v>T524597</v>
      </c>
      <c r="AN34" s="8">
        <f>Delivery_plan_24!$U34</f>
        <v>9670595756</v>
      </c>
      <c r="AO34" s="8">
        <f>Delivery_plan_24!$V34</f>
        <v>3067365050</v>
      </c>
      <c r="AP34" s="7">
        <f>Delivery_plan_24!$AF34</f>
        <v>16</v>
      </c>
      <c r="AQ34" t="str">
        <f>IF(Table1[[#This Row],[Offen]]=" ", " 0 ",Delivery_plan_24!$AH34)</f>
        <v>romiljethava09@gmail.com</v>
      </c>
      <c r="AS34" t="str">
        <f>Table5[[#This Row],[T5_]]</f>
        <v>24597</v>
      </c>
      <c r="AT34" t="s">
        <v>286</v>
      </c>
      <c r="AU34">
        <f t="shared" si="0"/>
        <v>0.5</v>
      </c>
      <c r="AV34">
        <v>8</v>
      </c>
      <c r="AW34">
        <f>Table5[[#This Row],[L]]*Table5[[#This Row],[B]]*Table5[[#This Row],[H]]*Table5[[#This Row],[Füllmenge]]/1000000000</f>
        <v>80.64</v>
      </c>
      <c r="AX34">
        <f>Tabelle3[[#This Row],[Factor]]*Tabelle3[[#This Row],[How many days]]*Tabelle3[[#This Row],[Volumn*Menge]]/100</f>
        <v>3.2256</v>
      </c>
    </row>
    <row r="35" spans="2:50" x14ac:dyDescent="0.3">
      <c r="B35" s="60">
        <v>27</v>
      </c>
      <c r="C35" s="14" t="s">
        <v>20</v>
      </c>
      <c r="D35" s="14" t="s">
        <v>21</v>
      </c>
      <c r="E35" s="14" t="s">
        <v>133</v>
      </c>
      <c r="F35" s="14" t="str">
        <f>RIGHT(Delivery_plan_24!$E35,5)</f>
        <v>24598</v>
      </c>
      <c r="G35" s="14" t="s">
        <v>134</v>
      </c>
      <c r="H35" s="14" t="s">
        <v>135</v>
      </c>
      <c r="I35" s="14">
        <v>34447</v>
      </c>
      <c r="J35" s="14" t="s">
        <v>103</v>
      </c>
      <c r="K35" s="14" t="s">
        <v>26</v>
      </c>
      <c r="L35" s="14" t="s">
        <v>132</v>
      </c>
      <c r="M35" s="14">
        <v>0</v>
      </c>
      <c r="N35" s="14" t="s">
        <v>29</v>
      </c>
      <c r="O35" s="14" t="s">
        <v>28</v>
      </c>
      <c r="P35" s="86">
        <v>2400</v>
      </c>
      <c r="Q35" s="14">
        <v>1600</v>
      </c>
      <c r="R35" s="14">
        <v>1500</v>
      </c>
      <c r="S35" s="15">
        <v>14</v>
      </c>
      <c r="T35" s="14" t="s">
        <v>37</v>
      </c>
      <c r="U35" s="16">
        <v>9670595756</v>
      </c>
      <c r="V35" s="16">
        <v>3067365050</v>
      </c>
      <c r="W35" s="14">
        <v>8</v>
      </c>
      <c r="X35" s="14">
        <v>24</v>
      </c>
      <c r="Y35" s="14" t="s">
        <v>87</v>
      </c>
      <c r="Z35" s="14" t="s">
        <v>112</v>
      </c>
      <c r="AA35" s="14" t="str">
        <f>IF(Delivery_plan_24!$AG35= " ", " ",IF(AND(Delivery_plan_24!$AG35&gt;0,AG35= ""), " Ja", "Nein"))</f>
        <v>Nein</v>
      </c>
      <c r="AB35" s="14" t="str">
        <f>IF(Delivery_plan_24!$AC35= 0, " ",IF(Delivery_plan_24!$AG35= 100%, "Ja", "Nein"))</f>
        <v>Nein</v>
      </c>
      <c r="AC35" s="94">
        <v>24</v>
      </c>
      <c r="AD35" s="14">
        <f>Gant_24!$E142</f>
        <v>8</v>
      </c>
      <c r="AE35" s="14">
        <f>SUM(Gant_24!H142:BG142)</f>
        <v>8</v>
      </c>
      <c r="AF35" s="93">
        <f t="shared" si="1"/>
        <v>16</v>
      </c>
      <c r="AG35" s="17">
        <f>IF(ISERROR(Delivery_plan_24!$AE35/Delivery_plan_24!$AC35), " ", Delivery_plan_24!$AE35/Delivery_plan_24!$AC35)</f>
        <v>0.33333333333333331</v>
      </c>
      <c r="AH35" s="92" t="s">
        <v>294</v>
      </c>
      <c r="AI35" s="90">
        <f ca="1">Gant_24!$E$144</f>
        <v>0</v>
      </c>
      <c r="AL35" t="str">
        <f>Table5[[#This Row],[LT-Lieferant]]</f>
        <v>Weidner GmbH</v>
      </c>
      <c r="AM35" t="str">
        <f>Delivery_plan_24!$E35</f>
        <v>T524598</v>
      </c>
      <c r="AN35" s="8">
        <f>Delivery_plan_24!$U35</f>
        <v>9670595756</v>
      </c>
      <c r="AO35" s="8">
        <f>Delivery_plan_24!$V35</f>
        <v>3067365050</v>
      </c>
      <c r="AP35" s="7">
        <f>Delivery_plan_24!$AF35</f>
        <v>16</v>
      </c>
      <c r="AQ35" t="str">
        <f>IF(Table1[[#This Row],[Offen]]=" ", " 0 ",Delivery_plan_24!$AH35)</f>
        <v>romiljethava09@gmail.com</v>
      </c>
      <c r="AS35" t="str">
        <f>Table5[[#This Row],[T5_]]</f>
        <v>24598</v>
      </c>
      <c r="AT35" t="s">
        <v>289</v>
      </c>
      <c r="AU35">
        <f t="shared" si="0"/>
        <v>0.2</v>
      </c>
      <c r="AV35">
        <v>82</v>
      </c>
      <c r="AW35">
        <f>Table5[[#This Row],[L]]*Table5[[#This Row],[B]]*Table5[[#This Row],[H]]*Table5[[#This Row],[Füllmenge]]/1000000000</f>
        <v>80.64</v>
      </c>
      <c r="AX35">
        <f>Tabelle3[[#This Row],[Factor]]*Tabelle3[[#This Row],[How many days]]*Tabelle3[[#This Row],[Volumn*Menge]]/100</f>
        <v>13.224960000000001</v>
      </c>
    </row>
    <row r="36" spans="2:50" x14ac:dyDescent="0.3">
      <c r="B36" s="60">
        <v>28</v>
      </c>
      <c r="C36" s="14" t="s">
        <v>20</v>
      </c>
      <c r="D36" s="14" t="s">
        <v>21</v>
      </c>
      <c r="E36" s="14" t="s">
        <v>136</v>
      </c>
      <c r="F36" s="14" t="str">
        <f>RIGHT(Delivery_plan_24!$E36,5)</f>
        <v>24612</v>
      </c>
      <c r="G36" s="14" t="s">
        <v>137</v>
      </c>
      <c r="H36" s="14" t="s">
        <v>138</v>
      </c>
      <c r="I36" s="14">
        <v>34492</v>
      </c>
      <c r="J36" s="14" t="s">
        <v>103</v>
      </c>
      <c r="K36" s="14" t="s">
        <v>77</v>
      </c>
      <c r="L36" s="14">
        <v>0</v>
      </c>
      <c r="M36" s="14" t="s">
        <v>28</v>
      </c>
      <c r="N36" s="14" t="s">
        <v>29</v>
      </c>
      <c r="O36" s="14" t="s">
        <v>28</v>
      </c>
      <c r="P36" s="86">
        <v>3450</v>
      </c>
      <c r="Q36" s="14">
        <v>1430</v>
      </c>
      <c r="R36" s="14">
        <v>1500</v>
      </c>
      <c r="S36" s="15">
        <v>9</v>
      </c>
      <c r="T36" s="14" t="s">
        <v>46</v>
      </c>
      <c r="U36" s="16">
        <v>9670595684</v>
      </c>
      <c r="V36" s="16">
        <v>3067365052</v>
      </c>
      <c r="W36" s="14">
        <v>5</v>
      </c>
      <c r="X36" s="14">
        <v>60</v>
      </c>
      <c r="Y36" s="14" t="s">
        <v>57</v>
      </c>
      <c r="Z36" s="14" t="s">
        <v>112</v>
      </c>
      <c r="AA36" s="14" t="str">
        <f>IF(Delivery_plan_24!$AG36= " ", " ",IF(AND(Delivery_plan_24!$AG36&gt;0,AG36= ""), " Ja", "Nein"))</f>
        <v>Nein</v>
      </c>
      <c r="AB36" s="14" t="str">
        <f>IF(Delivery_plan_24!$AC36= 0, " ",IF(Delivery_plan_24!$AG36= 100%, "Ja", "Nein"))</f>
        <v>Nein</v>
      </c>
      <c r="AC36" s="94">
        <v>60</v>
      </c>
      <c r="AD36" s="10">
        <f>Gant_24!$E147</f>
        <v>48</v>
      </c>
      <c r="AE36" s="14">
        <f>SUM(Gant_24!H148:BG148)</f>
        <v>0</v>
      </c>
      <c r="AF36" s="93">
        <f t="shared" si="1"/>
        <v>60</v>
      </c>
      <c r="AG36" s="17">
        <f>IF(ISERROR(Delivery_plan_24!$AE36/Delivery_plan_24!$AC36), " ", Delivery_plan_24!$AE36/Delivery_plan_24!$AC36)</f>
        <v>0</v>
      </c>
      <c r="AH36" s="92" t="s">
        <v>294</v>
      </c>
      <c r="AI36" s="90">
        <f ca="1">Gant_24!$E$149</f>
        <v>0</v>
      </c>
      <c r="AL36" t="str">
        <f>Table5[[#This Row],[LT-Lieferant]]</f>
        <v>Josta Engineering und Vertriebs GmbH</v>
      </c>
      <c r="AM36" t="str">
        <f>Delivery_plan_24!$E36</f>
        <v>T524612</v>
      </c>
      <c r="AN36" s="8">
        <f>Delivery_plan_24!$U36</f>
        <v>9670595684</v>
      </c>
      <c r="AO36" s="8">
        <f>Delivery_plan_24!$V36</f>
        <v>3067365052</v>
      </c>
      <c r="AP36" s="7">
        <f>Delivery_plan_24!$AF36</f>
        <v>60</v>
      </c>
      <c r="AQ36" t="str">
        <f>IF(Table1[[#This Row],[Offen]]=" ", " 0 ",Delivery_plan_24!$AH36)</f>
        <v>romiljethava09@gmail.com</v>
      </c>
      <c r="AS36" t="str">
        <f>Table5[[#This Row],[T5_]]</f>
        <v>24612</v>
      </c>
      <c r="AT36" t="s">
        <v>285</v>
      </c>
      <c r="AU36">
        <f t="shared" si="0"/>
        <v>0.3</v>
      </c>
      <c r="AV36">
        <v>17</v>
      </c>
      <c r="AW36">
        <f>Table5[[#This Row],[L]]*Table5[[#This Row],[B]]*Table5[[#This Row],[H]]*Table5[[#This Row],[Füllmenge]]/1000000000</f>
        <v>66.602249999999998</v>
      </c>
      <c r="AX36">
        <f>Tabelle3[[#This Row],[Factor]]*Tabelle3[[#This Row],[How many days]]*Tabelle3[[#This Row],[Volumn*Menge]]/100</f>
        <v>3.3967147499999997</v>
      </c>
    </row>
    <row r="37" spans="2:50" x14ac:dyDescent="0.3">
      <c r="B37" s="60">
        <v>29</v>
      </c>
      <c r="C37" s="14" t="s">
        <v>20</v>
      </c>
      <c r="D37" s="14" t="s">
        <v>21</v>
      </c>
      <c r="E37" s="14" t="s">
        <v>139</v>
      </c>
      <c r="F37" s="14" t="str">
        <f>RIGHT(Delivery_plan_24!$E37,5)</f>
        <v>24603</v>
      </c>
      <c r="G37" s="14" t="s">
        <v>140</v>
      </c>
      <c r="H37" s="14" t="s">
        <v>141</v>
      </c>
      <c r="I37" s="14">
        <v>34452</v>
      </c>
      <c r="J37" s="14" t="s">
        <v>103</v>
      </c>
      <c r="K37" s="14" t="s">
        <v>68</v>
      </c>
      <c r="L37" s="14">
        <v>0</v>
      </c>
      <c r="M37" s="14">
        <v>0</v>
      </c>
      <c r="N37" s="14" t="s">
        <v>29</v>
      </c>
      <c r="O37" s="14" t="s">
        <v>28</v>
      </c>
      <c r="P37" s="86">
        <v>2400</v>
      </c>
      <c r="Q37" s="14">
        <v>1600</v>
      </c>
      <c r="R37" s="14">
        <v>1000</v>
      </c>
      <c r="S37" s="15">
        <v>7</v>
      </c>
      <c r="T37" s="14" t="s">
        <v>37</v>
      </c>
      <c r="U37" s="16">
        <v>9670595765</v>
      </c>
      <c r="V37" s="16">
        <v>3067365046</v>
      </c>
      <c r="W37" s="14">
        <v>16</v>
      </c>
      <c r="X37" s="14">
        <v>41</v>
      </c>
      <c r="Y37" s="14" t="s">
        <v>47</v>
      </c>
      <c r="Z37" s="14" t="s">
        <v>112</v>
      </c>
      <c r="AA37" s="14" t="str">
        <f>IF(Delivery_plan_24!$AG37= " ", " ",IF(AND(Delivery_plan_24!$AG37&gt;0,AG37= ""), " Ja", "Nein"))</f>
        <v>Nein</v>
      </c>
      <c r="AB37" s="14" t="str">
        <f>IF(Delivery_plan_24!$AC37= 0, " ",IF(Delivery_plan_24!$AG37= 100%, "Ja", "Nein"))</f>
        <v>Nein</v>
      </c>
      <c r="AC37" s="94">
        <v>41</v>
      </c>
      <c r="AD37" s="14">
        <f>Gant_24!$E152</f>
        <v>0</v>
      </c>
      <c r="AE37" s="14">
        <f>SUM(Gant_24!H153:BG153)</f>
        <v>0</v>
      </c>
      <c r="AF37" s="93">
        <f t="shared" si="1"/>
        <v>41</v>
      </c>
      <c r="AG37" s="17">
        <f>IF(ISERROR(Delivery_plan_24!$AE37/Delivery_plan_24!$AC37), " ", Delivery_plan_24!$AE37/Delivery_plan_24!$AC37)</f>
        <v>0</v>
      </c>
      <c r="AH37" s="92" t="s">
        <v>294</v>
      </c>
      <c r="AI37" s="90">
        <f ca="1">Gant_24!$E$154</f>
        <v>0</v>
      </c>
      <c r="AL37" t="str">
        <f>Table5[[#This Row],[LT-Lieferant]]</f>
        <v>Schneider Transport- und Lagerbehälter GmbH &amp; Co. KG</v>
      </c>
      <c r="AM37" t="str">
        <f>Delivery_plan_24!$E37</f>
        <v>T524603</v>
      </c>
      <c r="AN37" s="8">
        <f>Delivery_plan_24!$U37</f>
        <v>9670595765</v>
      </c>
      <c r="AO37" s="8">
        <f>Delivery_plan_24!$V37</f>
        <v>3067365046</v>
      </c>
      <c r="AP37" s="7">
        <f>Delivery_plan_24!$AF37</f>
        <v>41</v>
      </c>
      <c r="AQ37" t="str">
        <f>IF(Table1[[#This Row],[Offen]]=" ", " 0 ",Delivery_plan_24!$AH37)</f>
        <v>romiljethava09@gmail.com</v>
      </c>
      <c r="AS37" t="str">
        <f>Table5[[#This Row],[T5_]]</f>
        <v>24603</v>
      </c>
      <c r="AT37" t="s">
        <v>285</v>
      </c>
      <c r="AU37">
        <f t="shared" si="0"/>
        <v>0.3</v>
      </c>
      <c r="AV37">
        <v>5</v>
      </c>
      <c r="AW37">
        <f>Table5[[#This Row],[L]]*Table5[[#This Row],[B]]*Table5[[#This Row],[H]]*Table5[[#This Row],[Füllmenge]]/1000000000</f>
        <v>26.88</v>
      </c>
      <c r="AX37">
        <f>Tabelle3[[#This Row],[Factor]]*Tabelle3[[#This Row],[How many days]]*Tabelle3[[#This Row],[Volumn*Menge]]/100</f>
        <v>0.4032</v>
      </c>
    </row>
    <row r="38" spans="2:50" x14ac:dyDescent="0.3">
      <c r="B38" s="60">
        <v>30</v>
      </c>
      <c r="C38" s="14" t="s">
        <v>20</v>
      </c>
      <c r="D38" s="14" t="s">
        <v>21</v>
      </c>
      <c r="E38" s="14" t="s">
        <v>142</v>
      </c>
      <c r="F38" s="14" t="str">
        <f>RIGHT(Delivery_plan_24!$E38,5)</f>
        <v>24604</v>
      </c>
      <c r="G38" s="14" t="s">
        <v>143</v>
      </c>
      <c r="H38" s="14" t="s">
        <v>144</v>
      </c>
      <c r="I38" s="14">
        <v>34453</v>
      </c>
      <c r="J38" s="14" t="s">
        <v>103</v>
      </c>
      <c r="K38" s="14" t="s">
        <v>68</v>
      </c>
      <c r="L38" s="14">
        <v>0</v>
      </c>
      <c r="M38" s="14">
        <v>0</v>
      </c>
      <c r="N38" s="14" t="s">
        <v>29</v>
      </c>
      <c r="O38" s="14" t="s">
        <v>28</v>
      </c>
      <c r="P38" s="86">
        <v>2400</v>
      </c>
      <c r="Q38" s="14">
        <v>1600</v>
      </c>
      <c r="R38" s="14">
        <v>1000</v>
      </c>
      <c r="S38" s="15">
        <v>7</v>
      </c>
      <c r="T38" s="14" t="s">
        <v>37</v>
      </c>
      <c r="U38" s="16">
        <v>9670595765</v>
      </c>
      <c r="V38" s="16">
        <v>3067365046</v>
      </c>
      <c r="W38" s="14">
        <v>16</v>
      </c>
      <c r="X38" s="14">
        <v>41</v>
      </c>
      <c r="Y38" s="14" t="s">
        <v>47</v>
      </c>
      <c r="Z38" s="14" t="s">
        <v>112</v>
      </c>
      <c r="AA38" s="14" t="str">
        <f>IF(Delivery_plan_24!$AG38= " ", " ",IF(AND(Delivery_plan_24!$AG38&gt;0,AG38= ""), " Ja", "Nein"))</f>
        <v>Nein</v>
      </c>
      <c r="AB38" s="14" t="str">
        <f>IF(Delivery_plan_24!$AC38= 0, " ",IF(Delivery_plan_24!$AG38= 100%, "Ja", "Nein"))</f>
        <v>Nein</v>
      </c>
      <c r="AC38" s="94">
        <v>41</v>
      </c>
      <c r="AD38" s="10">
        <f>Gant_24!$E157</f>
        <v>0</v>
      </c>
      <c r="AE38" s="14">
        <f>SUM(Gant_24!H158:BG158)</f>
        <v>0</v>
      </c>
      <c r="AF38" s="93">
        <f t="shared" si="1"/>
        <v>41</v>
      </c>
      <c r="AG38" s="17">
        <f>IF(ISERROR(Delivery_plan_24!$AE38/Delivery_plan_24!$AC38), " ", Delivery_plan_24!$AE38/Delivery_plan_24!$AC38)</f>
        <v>0</v>
      </c>
      <c r="AH38" s="92" t="s">
        <v>294</v>
      </c>
      <c r="AI38" s="90">
        <f ca="1">Gant_24!$E$159</f>
        <v>0</v>
      </c>
      <c r="AL38" t="str">
        <f>Table5[[#This Row],[LT-Lieferant]]</f>
        <v>Schneider Transport- und Lagerbehälter GmbH &amp; Co. KG</v>
      </c>
      <c r="AM38" t="str">
        <f>Delivery_plan_24!$E38</f>
        <v>T524604</v>
      </c>
      <c r="AN38" s="8">
        <f>Delivery_plan_24!$U38</f>
        <v>9670595765</v>
      </c>
      <c r="AO38" s="8">
        <f>Delivery_plan_24!$V38</f>
        <v>3067365046</v>
      </c>
      <c r="AP38" s="7">
        <f>Delivery_plan_24!$AF38</f>
        <v>41</v>
      </c>
      <c r="AQ38" t="str">
        <f>IF(Table1[[#This Row],[Offen]]=" ", " 0 ",Delivery_plan_24!$AH38)</f>
        <v>romiljethava09@gmail.com</v>
      </c>
      <c r="AS38" t="str">
        <f>Table5[[#This Row],[T5_]]</f>
        <v>24604</v>
      </c>
      <c r="AT38" t="s">
        <v>286</v>
      </c>
      <c r="AU38">
        <f t="shared" si="0"/>
        <v>0.5</v>
      </c>
      <c r="AV38">
        <v>15</v>
      </c>
      <c r="AW38">
        <f>Table5[[#This Row],[L]]*Table5[[#This Row],[B]]*Table5[[#This Row],[H]]*Table5[[#This Row],[Füllmenge]]/1000000000</f>
        <v>26.88</v>
      </c>
      <c r="AX38">
        <f>Tabelle3[[#This Row],[Factor]]*Tabelle3[[#This Row],[How many days]]*Tabelle3[[#This Row],[Volumn*Menge]]/100</f>
        <v>2.016</v>
      </c>
    </row>
    <row r="39" spans="2:50" x14ac:dyDescent="0.3">
      <c r="B39" s="60">
        <v>31</v>
      </c>
      <c r="C39" s="14" t="s">
        <v>20</v>
      </c>
      <c r="D39" s="14" t="s">
        <v>21</v>
      </c>
      <c r="E39" s="14" t="s">
        <v>145</v>
      </c>
      <c r="F39" s="14" t="str">
        <f>RIGHT(Delivery_plan_24!$E39,5)</f>
        <v>24607</v>
      </c>
      <c r="G39" s="14" t="s">
        <v>146</v>
      </c>
      <c r="H39" s="14" t="s">
        <v>147</v>
      </c>
      <c r="I39" s="14">
        <v>34454</v>
      </c>
      <c r="J39" s="14" t="s">
        <v>103</v>
      </c>
      <c r="K39" s="14" t="s">
        <v>26</v>
      </c>
      <c r="L39" s="14" t="s">
        <v>148</v>
      </c>
      <c r="M39" s="14">
        <v>0</v>
      </c>
      <c r="N39" s="14" t="s">
        <v>29</v>
      </c>
      <c r="O39" s="14" t="s">
        <v>28</v>
      </c>
      <c r="P39" s="86">
        <v>2400</v>
      </c>
      <c r="Q39" s="14">
        <v>1600</v>
      </c>
      <c r="R39" s="14">
        <v>1500</v>
      </c>
      <c r="S39" s="15">
        <v>45</v>
      </c>
      <c r="T39" s="14" t="s">
        <v>37</v>
      </c>
      <c r="U39" s="16">
        <v>9670595751</v>
      </c>
      <c r="V39" s="16">
        <v>3067365045</v>
      </c>
      <c r="W39" s="14">
        <v>3</v>
      </c>
      <c r="X39" s="14">
        <v>16</v>
      </c>
      <c r="Y39" s="14" t="s">
        <v>31</v>
      </c>
      <c r="Z39" s="14" t="s">
        <v>112</v>
      </c>
      <c r="AA39" s="14" t="str">
        <f>IF(Delivery_plan_24!$AG39= " ", " ",IF(AND(Delivery_plan_24!$AG39&gt;0,AG39= ""), " Ja", "Nein"))</f>
        <v>Nein</v>
      </c>
      <c r="AB39" s="14" t="str">
        <f>IF(Delivery_plan_24!$AC39= 0, " ",IF(Delivery_plan_24!$AG39= 100%, "Ja", "Nein"))</f>
        <v>Nein</v>
      </c>
      <c r="AC39" s="94">
        <v>16</v>
      </c>
      <c r="AD39" s="14">
        <f>Gant_24!$E162</f>
        <v>0</v>
      </c>
      <c r="AE39" s="14">
        <f>SUM(Gant_24!H163:BG163)</f>
        <v>0</v>
      </c>
      <c r="AF39" s="93">
        <f t="shared" si="1"/>
        <v>16</v>
      </c>
      <c r="AG39" s="17">
        <f>IF(ISERROR(Delivery_plan_24!$AE39/Delivery_plan_24!$AC39), " ", Delivery_plan_24!$AE39/Delivery_plan_24!$AC39)</f>
        <v>0</v>
      </c>
      <c r="AH39" s="92" t="s">
        <v>294</v>
      </c>
      <c r="AI39" s="90">
        <f ca="1">Gant_24!$E$164</f>
        <v>0</v>
      </c>
      <c r="AL39" t="str">
        <f>Table5[[#This Row],[LT-Lieferant]]</f>
        <v>mts Maschinenbau GmbH</v>
      </c>
      <c r="AM39" t="str">
        <f>Delivery_plan_24!$E39</f>
        <v>T524607</v>
      </c>
      <c r="AN39" s="8">
        <f>Delivery_plan_24!$U39</f>
        <v>9670595751</v>
      </c>
      <c r="AO39" s="8">
        <f>Delivery_plan_24!$V39</f>
        <v>3067365045</v>
      </c>
      <c r="AP39" s="7">
        <f>Delivery_plan_24!$AF39</f>
        <v>16</v>
      </c>
      <c r="AQ39" t="str">
        <f>IF(Table1[[#This Row],[Offen]]=" ", " 0 ",Delivery_plan_24!$AH39)</f>
        <v>romiljethava09@gmail.com</v>
      </c>
      <c r="AS39" t="str">
        <f>Table5[[#This Row],[T5_]]</f>
        <v>24607</v>
      </c>
      <c r="AT39" t="s">
        <v>289</v>
      </c>
      <c r="AU39">
        <f t="shared" si="0"/>
        <v>0.2</v>
      </c>
      <c r="AV39">
        <v>12</v>
      </c>
      <c r="AW39">
        <f>Table5[[#This Row],[L]]*Table5[[#This Row],[B]]*Table5[[#This Row],[H]]*Table5[[#This Row],[Füllmenge]]/1000000000</f>
        <v>259.2</v>
      </c>
      <c r="AX39">
        <f>Tabelle3[[#This Row],[Factor]]*Tabelle3[[#This Row],[How many days]]*Tabelle3[[#This Row],[Volumn*Menge]]/100</f>
        <v>6.2208000000000006</v>
      </c>
    </row>
    <row r="40" spans="2:50" x14ac:dyDescent="0.3">
      <c r="B40" s="60">
        <v>32</v>
      </c>
      <c r="C40" s="14" t="s">
        <v>20</v>
      </c>
      <c r="D40" s="14" t="s">
        <v>21</v>
      </c>
      <c r="E40" s="14" t="s">
        <v>149</v>
      </c>
      <c r="F40" s="14" t="str">
        <f>RIGHT(Delivery_plan_24!$E40,5)</f>
        <v>24608</v>
      </c>
      <c r="G40" s="14" t="s">
        <v>150</v>
      </c>
      <c r="H40" s="14" t="s">
        <v>151</v>
      </c>
      <c r="I40" s="14">
        <v>34455</v>
      </c>
      <c r="J40" s="14" t="s">
        <v>103</v>
      </c>
      <c r="K40" s="14" t="s">
        <v>26</v>
      </c>
      <c r="L40" s="14" t="s">
        <v>148</v>
      </c>
      <c r="M40" s="14">
        <v>0</v>
      </c>
      <c r="N40" s="14" t="s">
        <v>29</v>
      </c>
      <c r="O40" s="14" t="s">
        <v>28</v>
      </c>
      <c r="P40" s="86">
        <v>2400</v>
      </c>
      <c r="Q40" s="14">
        <v>1600</v>
      </c>
      <c r="R40" s="14">
        <v>1500</v>
      </c>
      <c r="S40" s="15">
        <v>45</v>
      </c>
      <c r="T40" s="14" t="s">
        <v>37</v>
      </c>
      <c r="U40" s="16">
        <v>9670595751</v>
      </c>
      <c r="V40" s="16">
        <v>3067365045</v>
      </c>
      <c r="W40" s="14">
        <v>3</v>
      </c>
      <c r="X40" s="14">
        <v>16</v>
      </c>
      <c r="Y40" s="14" t="s">
        <v>31</v>
      </c>
      <c r="Z40" s="14" t="s">
        <v>112</v>
      </c>
      <c r="AA40" s="14" t="str">
        <f>IF(Delivery_plan_24!$AG40= " ", " ",IF(AND(Delivery_plan_24!$AG40&gt;0,AG40= ""), " Ja", "Nein"))</f>
        <v>Nein</v>
      </c>
      <c r="AB40" s="14" t="str">
        <f>IF(Delivery_plan_24!$AC40= 0, " ",IF(Delivery_plan_24!$AG40= 100%, "Ja", "Nein"))</f>
        <v>Nein</v>
      </c>
      <c r="AC40" s="94">
        <v>16</v>
      </c>
      <c r="AD40" s="10">
        <f>Gant_24!$E167</f>
        <v>0</v>
      </c>
      <c r="AE40" s="14">
        <f>SUM(Gant_24!H168:BG168)</f>
        <v>0</v>
      </c>
      <c r="AF40" s="93">
        <f t="shared" si="1"/>
        <v>16</v>
      </c>
      <c r="AG40" s="17">
        <f>IF(ISERROR(Delivery_plan_24!$AE40/Delivery_plan_24!$AC40), " ", Delivery_plan_24!$AE40/Delivery_plan_24!$AC40)</f>
        <v>0</v>
      </c>
      <c r="AH40" s="92" t="s">
        <v>294</v>
      </c>
      <c r="AI40" s="90">
        <f ca="1">Gant_24!$E$169</f>
        <v>0</v>
      </c>
      <c r="AL40" t="str">
        <f>Table5[[#This Row],[LT-Lieferant]]</f>
        <v>mts Maschinenbau GmbH</v>
      </c>
      <c r="AM40" t="str">
        <f>Delivery_plan_24!$E40</f>
        <v>T524608</v>
      </c>
      <c r="AN40" s="8">
        <f>Delivery_plan_24!$U40</f>
        <v>9670595751</v>
      </c>
      <c r="AO40" s="8">
        <f>Delivery_plan_24!$V40</f>
        <v>3067365045</v>
      </c>
      <c r="AP40" s="7">
        <f>Delivery_plan_24!$AF40</f>
        <v>16</v>
      </c>
      <c r="AQ40" t="str">
        <f>IF(Table1[[#This Row],[Offen]]=" ", " 0 ",Delivery_plan_24!$AH40)</f>
        <v>romiljethava09@gmail.com</v>
      </c>
      <c r="AS40" t="str">
        <f>Table5[[#This Row],[T5_]]</f>
        <v>24608</v>
      </c>
      <c r="AT40" t="s">
        <v>285</v>
      </c>
      <c r="AU40">
        <f t="shared" si="0"/>
        <v>0.3</v>
      </c>
      <c r="AV40">
        <v>3</v>
      </c>
      <c r="AW40">
        <f>Table5[[#This Row],[L]]*Table5[[#This Row],[B]]*Table5[[#This Row],[H]]*Table5[[#This Row],[Füllmenge]]/1000000000</f>
        <v>259.2</v>
      </c>
      <c r="AX40">
        <f>Tabelle3[[#This Row],[Factor]]*Tabelle3[[#This Row],[How many days]]*Tabelle3[[#This Row],[Volumn*Menge]]/100</f>
        <v>2.3327999999999998</v>
      </c>
    </row>
    <row r="41" spans="2:50" x14ac:dyDescent="0.3">
      <c r="B41" s="60">
        <v>33</v>
      </c>
      <c r="C41" s="14" t="s">
        <v>20</v>
      </c>
      <c r="D41" s="14" t="s">
        <v>21</v>
      </c>
      <c r="E41" s="14" t="s">
        <v>152</v>
      </c>
      <c r="F41" s="14" t="str">
        <f>RIGHT(Delivery_plan_24!$E41,5)</f>
        <v>24895</v>
      </c>
      <c r="G41" s="14" t="s">
        <v>153</v>
      </c>
      <c r="H41" s="14" t="s">
        <v>154</v>
      </c>
      <c r="I41" s="14">
        <v>34466</v>
      </c>
      <c r="J41" s="14" t="s">
        <v>155</v>
      </c>
      <c r="K41" s="14" t="s">
        <v>68</v>
      </c>
      <c r="L41" s="14">
        <v>0</v>
      </c>
      <c r="M41" s="14" t="s">
        <v>28</v>
      </c>
      <c r="N41" s="14" t="s">
        <v>29</v>
      </c>
      <c r="O41" s="14" t="s">
        <v>28</v>
      </c>
      <c r="P41" s="86">
        <v>2400</v>
      </c>
      <c r="Q41" s="14">
        <v>1600</v>
      </c>
      <c r="R41" s="14">
        <v>1500</v>
      </c>
      <c r="S41" s="15">
        <v>9</v>
      </c>
      <c r="T41" s="14" t="s">
        <v>56</v>
      </c>
      <c r="U41" s="16">
        <v>9670595758</v>
      </c>
      <c r="V41" s="16">
        <v>3067365047</v>
      </c>
      <c r="W41" s="14">
        <v>12</v>
      </c>
      <c r="X41" s="14">
        <v>24</v>
      </c>
      <c r="Y41" s="14" t="s">
        <v>57</v>
      </c>
      <c r="Z41" s="14" t="s">
        <v>156</v>
      </c>
      <c r="AA41" s="14" t="str">
        <f>IF(Delivery_plan_24!$AG41= " ", " ",IF(AND(Delivery_plan_24!$AG41&gt;0,AG41= ""), " Ja", "Nein"))</f>
        <v>Nein</v>
      </c>
      <c r="AB41" s="14" t="str">
        <f>IF(Delivery_plan_24!$AC41= 0, " ",IF(Delivery_plan_24!$AG41= 100%, "Ja", "Nein"))</f>
        <v>Nein</v>
      </c>
      <c r="AC41" s="94">
        <v>24</v>
      </c>
      <c r="AD41" s="14">
        <f>Gant_24!$E172</f>
        <v>24</v>
      </c>
      <c r="AE41" s="14">
        <f>SUM(Gant_24!H173:BG173)</f>
        <v>0</v>
      </c>
      <c r="AF41" s="93">
        <f t="shared" si="1"/>
        <v>24</v>
      </c>
      <c r="AG41" s="17">
        <f>IF(ISERROR(Delivery_plan_24!$AE41/Delivery_plan_24!$AC41), " ", Delivery_plan_24!$AE41/Delivery_plan_24!$AC41)</f>
        <v>0</v>
      </c>
      <c r="AH41" s="92" t="s">
        <v>294</v>
      </c>
      <c r="AI41" s="90">
        <f ca="1">Gant_24!$E$174</f>
        <v>0</v>
      </c>
      <c r="AL41" t="str">
        <f>Table5[[#This Row],[LT-Lieferant]]</f>
        <v>Josta Engineering und Vertriebs GmbH</v>
      </c>
      <c r="AM41" t="str">
        <f>Delivery_plan_24!$E41</f>
        <v>T524895</v>
      </c>
      <c r="AN41" s="8">
        <f>Delivery_plan_24!$U41</f>
        <v>9670595758</v>
      </c>
      <c r="AO41" s="8">
        <f>Delivery_plan_24!$V41</f>
        <v>3067365047</v>
      </c>
      <c r="AP41" s="7">
        <f>Delivery_plan_24!$AF41</f>
        <v>24</v>
      </c>
      <c r="AQ41" t="str">
        <f>IF(Table1[[#This Row],[Offen]]=" ", " 0 ",Delivery_plan_24!$AH41)</f>
        <v>romiljethava09@gmail.com</v>
      </c>
      <c r="AS41" t="str">
        <f>Table5[[#This Row],[T5_]]</f>
        <v>24895</v>
      </c>
      <c r="AT41" t="s">
        <v>286</v>
      </c>
      <c r="AU41">
        <f t="shared" si="0"/>
        <v>0.5</v>
      </c>
      <c r="AV41">
        <v>29</v>
      </c>
      <c r="AW41">
        <f>Table5[[#This Row],[L]]*Table5[[#This Row],[B]]*Table5[[#This Row],[H]]*Table5[[#This Row],[Füllmenge]]/1000000000</f>
        <v>51.84</v>
      </c>
      <c r="AX41">
        <f>Tabelle3[[#This Row],[Factor]]*Tabelle3[[#This Row],[How many days]]*Tabelle3[[#This Row],[Volumn*Menge]]/100</f>
        <v>7.5168000000000008</v>
      </c>
    </row>
    <row r="42" spans="2:50" x14ac:dyDescent="0.3">
      <c r="B42" s="60">
        <v>34</v>
      </c>
      <c r="C42" s="14" t="s">
        <v>20</v>
      </c>
      <c r="D42" s="14" t="s">
        <v>21</v>
      </c>
      <c r="E42" s="14" t="s">
        <v>157</v>
      </c>
      <c r="F42" s="14" t="str">
        <f>RIGHT(Delivery_plan_24!$E42,5)</f>
        <v>24896</v>
      </c>
      <c r="G42" s="14" t="s">
        <v>158</v>
      </c>
      <c r="H42" s="14" t="s">
        <v>159</v>
      </c>
      <c r="I42" s="14">
        <v>34467</v>
      </c>
      <c r="J42" s="14" t="s">
        <v>155</v>
      </c>
      <c r="K42" s="14" t="s">
        <v>68</v>
      </c>
      <c r="L42" s="14">
        <v>0</v>
      </c>
      <c r="M42" s="14" t="s">
        <v>28</v>
      </c>
      <c r="N42" s="14" t="s">
        <v>29</v>
      </c>
      <c r="O42" s="14" t="s">
        <v>28</v>
      </c>
      <c r="P42" s="86">
        <v>2400</v>
      </c>
      <c r="Q42" s="14">
        <v>1600</v>
      </c>
      <c r="R42" s="14">
        <v>1500</v>
      </c>
      <c r="S42" s="15">
        <v>9</v>
      </c>
      <c r="T42" s="14" t="s">
        <v>56</v>
      </c>
      <c r="U42" s="16">
        <v>9670595758</v>
      </c>
      <c r="V42" s="16">
        <v>3067365047</v>
      </c>
      <c r="W42" s="14">
        <v>12</v>
      </c>
      <c r="X42" s="14">
        <v>24</v>
      </c>
      <c r="Y42" s="14" t="s">
        <v>57</v>
      </c>
      <c r="Z42" s="14" t="s">
        <v>156</v>
      </c>
      <c r="AA42" s="14" t="str">
        <f>IF(Delivery_plan_24!$AG42= " ", " ",IF(AND(Delivery_plan_24!$AG42&gt;0,AG42= ""), " Ja", "Nein"))</f>
        <v>Nein</v>
      </c>
      <c r="AB42" s="14" t="str">
        <f>IF(Delivery_plan_24!$AC42= 0, " ",IF(Delivery_plan_24!$AG42= 100%, "Ja", "Nein"))</f>
        <v>Nein</v>
      </c>
      <c r="AC42" s="94">
        <v>24</v>
      </c>
      <c r="AD42" s="10">
        <f>Gant_24!$E177</f>
        <v>24</v>
      </c>
      <c r="AE42" s="14">
        <f>SUM(Gant_24!H178:BG178)</f>
        <v>0</v>
      </c>
      <c r="AF42" s="93">
        <f t="shared" si="1"/>
        <v>24</v>
      </c>
      <c r="AG42" s="17">
        <f>IF(ISERROR(Delivery_plan_24!$AE42/Delivery_plan_24!$AC42), " ", Delivery_plan_24!$AE42/Delivery_plan_24!$AC42)</f>
        <v>0</v>
      </c>
      <c r="AH42" s="92" t="s">
        <v>294</v>
      </c>
      <c r="AI42" s="90">
        <f ca="1">Gant_24!$E$179</f>
        <v>0</v>
      </c>
      <c r="AL42" t="str">
        <f>Table5[[#This Row],[LT-Lieferant]]</f>
        <v>Josta Engineering und Vertriebs GmbH</v>
      </c>
      <c r="AM42" t="str">
        <f>Delivery_plan_24!$E42</f>
        <v>T524896</v>
      </c>
      <c r="AN42" s="8">
        <f>Delivery_plan_24!$U42</f>
        <v>9670595758</v>
      </c>
      <c r="AO42" s="8">
        <f>Delivery_plan_24!$V42</f>
        <v>3067365047</v>
      </c>
      <c r="AP42" s="7">
        <f>Delivery_plan_24!$AF42</f>
        <v>24</v>
      </c>
      <c r="AQ42" t="str">
        <f>IF(Table1[[#This Row],[Offen]]=" ", " 0 ",Delivery_plan_24!$AH42)</f>
        <v>romiljethava09@gmail.com</v>
      </c>
      <c r="AS42" t="str">
        <f>Table5[[#This Row],[T5_]]</f>
        <v>24896</v>
      </c>
      <c r="AT42" t="s">
        <v>289</v>
      </c>
      <c r="AU42">
        <f t="shared" si="0"/>
        <v>0.2</v>
      </c>
      <c r="AV42">
        <v>36</v>
      </c>
      <c r="AW42">
        <f>Table5[[#This Row],[L]]*Table5[[#This Row],[B]]*Table5[[#This Row],[H]]*Table5[[#This Row],[Füllmenge]]/1000000000</f>
        <v>51.84</v>
      </c>
      <c r="AX42">
        <f>Tabelle3[[#This Row],[Factor]]*Tabelle3[[#This Row],[How many days]]*Tabelle3[[#This Row],[Volumn*Menge]]/100</f>
        <v>3.7324800000000007</v>
      </c>
    </row>
    <row r="43" spans="2:50" x14ac:dyDescent="0.3">
      <c r="B43" s="60">
        <v>35</v>
      </c>
      <c r="C43" s="14" t="s">
        <v>20</v>
      </c>
      <c r="D43" s="14" t="s">
        <v>21</v>
      </c>
      <c r="E43" s="14" t="s">
        <v>160</v>
      </c>
      <c r="F43" s="14" t="str">
        <f>RIGHT(Delivery_plan_24!$E43,5)</f>
        <v>24897</v>
      </c>
      <c r="G43" s="14" t="s">
        <v>161</v>
      </c>
      <c r="H43" s="14" t="s">
        <v>162</v>
      </c>
      <c r="I43" s="14">
        <v>34468</v>
      </c>
      <c r="J43" s="14" t="s">
        <v>155</v>
      </c>
      <c r="K43" s="14" t="s">
        <v>68</v>
      </c>
      <c r="L43" s="14">
        <v>0</v>
      </c>
      <c r="M43" s="14" t="s">
        <v>28</v>
      </c>
      <c r="N43" s="14" t="s">
        <v>29</v>
      </c>
      <c r="O43" s="14" t="s">
        <v>28</v>
      </c>
      <c r="P43" s="86">
        <v>2400</v>
      </c>
      <c r="Q43" s="14">
        <v>1600</v>
      </c>
      <c r="R43" s="14">
        <v>1500</v>
      </c>
      <c r="S43" s="15">
        <v>9</v>
      </c>
      <c r="T43" s="14" t="s">
        <v>56</v>
      </c>
      <c r="U43" s="16">
        <v>9670595758</v>
      </c>
      <c r="V43" s="16">
        <v>3067365047</v>
      </c>
      <c r="W43" s="14">
        <v>12</v>
      </c>
      <c r="X43" s="14">
        <v>24</v>
      </c>
      <c r="Y43" s="14" t="s">
        <v>57</v>
      </c>
      <c r="Z43" s="14" t="s">
        <v>156</v>
      </c>
      <c r="AA43" s="14" t="str">
        <f>IF(Delivery_plan_24!$AG43= " ", " ",IF(AND(Delivery_plan_24!$AG43&gt;0,AG43= ""), " Ja", "Nein"))</f>
        <v>Nein</v>
      </c>
      <c r="AB43" s="14" t="str">
        <f>IF(Delivery_plan_24!$AC43= 0, " ",IF(Delivery_plan_24!$AG43= 100%, "Ja", "Nein"))</f>
        <v>Nein</v>
      </c>
      <c r="AC43" s="94">
        <v>24</v>
      </c>
      <c r="AD43" s="14">
        <f>Gant_24!$E182</f>
        <v>24</v>
      </c>
      <c r="AE43" s="14">
        <f>SUM(Gant_24!H183:BG183)</f>
        <v>0</v>
      </c>
      <c r="AF43" s="93">
        <f t="shared" si="1"/>
        <v>24</v>
      </c>
      <c r="AG43" s="17">
        <f>IF(ISERROR(Delivery_plan_24!$AE43/Delivery_plan_24!$AC43), " ", Delivery_plan_24!$AE43/Delivery_plan_24!$AC43)</f>
        <v>0</v>
      </c>
      <c r="AH43" s="92" t="s">
        <v>293</v>
      </c>
      <c r="AI43" s="90">
        <f ca="1">Gant_24!$E$184</f>
        <v>0</v>
      </c>
      <c r="AL43" t="str">
        <f>Table5[[#This Row],[LT-Lieferant]]</f>
        <v>Josta Engineering und Vertriebs GmbH</v>
      </c>
      <c r="AM43" t="str">
        <f>Delivery_plan_24!$E43</f>
        <v>T524897</v>
      </c>
      <c r="AN43" s="8">
        <f>Delivery_plan_24!$U43</f>
        <v>9670595758</v>
      </c>
      <c r="AO43" s="8">
        <f>Delivery_plan_24!$V43</f>
        <v>3067365047</v>
      </c>
      <c r="AP43" s="7">
        <f>Delivery_plan_24!$AF43</f>
        <v>24</v>
      </c>
      <c r="AQ43" t="str">
        <f>IF(Table1[[#This Row],[Offen]]=" ", " 0 ",Delivery_plan_24!$AH43)</f>
        <v>jethavaromil@gmail.com</v>
      </c>
      <c r="AS43" t="str">
        <f>Table5[[#This Row],[T5_]]</f>
        <v>24897</v>
      </c>
      <c r="AT43" t="s">
        <v>286</v>
      </c>
      <c r="AU43">
        <f t="shared" si="0"/>
        <v>0.5</v>
      </c>
      <c r="AV43">
        <v>22</v>
      </c>
      <c r="AW43">
        <f>Table5[[#This Row],[L]]*Table5[[#This Row],[B]]*Table5[[#This Row],[H]]*Table5[[#This Row],[Füllmenge]]/1000000000</f>
        <v>51.84</v>
      </c>
      <c r="AX43">
        <f>Tabelle3[[#This Row],[Factor]]*Tabelle3[[#This Row],[How many days]]*Tabelle3[[#This Row],[Volumn*Menge]]/100</f>
        <v>5.7023999999999999</v>
      </c>
    </row>
    <row r="44" spans="2:50" x14ac:dyDescent="0.3">
      <c r="B44" s="60">
        <v>36</v>
      </c>
      <c r="C44" s="14" t="s">
        <v>20</v>
      </c>
      <c r="D44" s="14" t="s">
        <v>21</v>
      </c>
      <c r="E44" s="14" t="s">
        <v>163</v>
      </c>
      <c r="F44" s="14" t="str">
        <f>RIGHT(Delivery_plan_24!$E44,5)</f>
        <v>24898</v>
      </c>
      <c r="G44" s="14" t="s">
        <v>164</v>
      </c>
      <c r="H44" s="14" t="s">
        <v>165</v>
      </c>
      <c r="I44" s="14">
        <v>34469</v>
      </c>
      <c r="J44" s="14" t="s">
        <v>155</v>
      </c>
      <c r="K44" s="14" t="s">
        <v>68</v>
      </c>
      <c r="L44" s="14">
        <v>0</v>
      </c>
      <c r="M44" s="14" t="s">
        <v>28</v>
      </c>
      <c r="N44" s="14" t="s">
        <v>29</v>
      </c>
      <c r="O44" s="14" t="s">
        <v>28</v>
      </c>
      <c r="P44" s="86">
        <v>2400</v>
      </c>
      <c r="Q44" s="14">
        <v>1600</v>
      </c>
      <c r="R44" s="14">
        <v>1500</v>
      </c>
      <c r="S44" s="15">
        <v>9</v>
      </c>
      <c r="T44" s="14" t="s">
        <v>56</v>
      </c>
      <c r="U44" s="16">
        <v>9670595758</v>
      </c>
      <c r="V44" s="16">
        <v>3067365047</v>
      </c>
      <c r="W44" s="14">
        <v>12</v>
      </c>
      <c r="X44" s="14">
        <v>24</v>
      </c>
      <c r="Y44" s="14" t="s">
        <v>57</v>
      </c>
      <c r="Z44" s="14" t="s">
        <v>156</v>
      </c>
      <c r="AA44" s="14" t="str">
        <f>IF(Delivery_plan_24!$AG44= " ", " ",IF(AND(Delivery_plan_24!$AG44&gt;0,AG44= ""), " Ja", "Nein"))</f>
        <v>Nein</v>
      </c>
      <c r="AB44" s="14" t="str">
        <f>IF(Delivery_plan_24!$AC44= 0, " ",IF(Delivery_plan_24!$AG44= 100%, "Ja", "Nein"))</f>
        <v>Nein</v>
      </c>
      <c r="AC44" s="94">
        <v>24</v>
      </c>
      <c r="AD44" s="10">
        <f>Gant_24!$E187</f>
        <v>32</v>
      </c>
      <c r="AE44" s="14">
        <f>SUM(Gant_24!H188:BG188)</f>
        <v>0</v>
      </c>
      <c r="AF44" s="93">
        <f t="shared" si="1"/>
        <v>24</v>
      </c>
      <c r="AG44" s="17">
        <f>IF(ISERROR(Delivery_plan_24!$AE44/Delivery_plan_24!$AC44), " ", Delivery_plan_24!$AE44/Delivery_plan_24!$AC44)</f>
        <v>0</v>
      </c>
      <c r="AH44" s="92" t="s">
        <v>293</v>
      </c>
      <c r="AI44" s="90">
        <f ca="1">Gant_24!$E$189</f>
        <v>0</v>
      </c>
      <c r="AL44" t="str">
        <f>Table5[[#This Row],[LT-Lieferant]]</f>
        <v>Josta Engineering und Vertriebs GmbH</v>
      </c>
      <c r="AM44" t="str">
        <f>Delivery_plan_24!$E44</f>
        <v>T524898</v>
      </c>
      <c r="AN44" s="8">
        <f>Delivery_plan_24!$U44</f>
        <v>9670595758</v>
      </c>
      <c r="AO44" s="8">
        <f>Delivery_plan_24!$V44</f>
        <v>3067365047</v>
      </c>
      <c r="AP44" s="7">
        <f>Delivery_plan_24!$AF44</f>
        <v>24</v>
      </c>
      <c r="AQ44" t="str">
        <f>IF(Table1[[#This Row],[Offen]]=" ", " 0 ",Delivery_plan_24!$AH44)</f>
        <v>jethavaromil@gmail.com</v>
      </c>
      <c r="AS44" t="str">
        <f>Table5[[#This Row],[T5_]]</f>
        <v>24898</v>
      </c>
      <c r="AT44" t="s">
        <v>289</v>
      </c>
      <c r="AU44">
        <f t="shared" si="0"/>
        <v>0.2</v>
      </c>
      <c r="AV44">
        <v>24</v>
      </c>
      <c r="AW44">
        <f>Table5[[#This Row],[L]]*Table5[[#This Row],[B]]*Table5[[#This Row],[H]]*Table5[[#This Row],[Füllmenge]]/1000000000</f>
        <v>51.84</v>
      </c>
      <c r="AX44">
        <f>Tabelle3[[#This Row],[Factor]]*Tabelle3[[#This Row],[How many days]]*Tabelle3[[#This Row],[Volumn*Menge]]/100</f>
        <v>2.4883200000000003</v>
      </c>
    </row>
    <row r="45" spans="2:50" x14ac:dyDescent="0.3">
      <c r="B45" s="60">
        <v>37</v>
      </c>
      <c r="C45" s="14" t="s">
        <v>20</v>
      </c>
      <c r="D45" s="14" t="s">
        <v>21</v>
      </c>
      <c r="E45" s="14" t="s">
        <v>166</v>
      </c>
      <c r="F45" s="14" t="str">
        <f>RIGHT(Delivery_plan_24!$E45,5)</f>
        <v>24613</v>
      </c>
      <c r="G45" s="14" t="s">
        <v>167</v>
      </c>
      <c r="H45" s="14" t="s">
        <v>168</v>
      </c>
      <c r="I45" s="14">
        <v>34470</v>
      </c>
      <c r="J45" s="14" t="s">
        <v>155</v>
      </c>
      <c r="K45" s="14" t="s">
        <v>77</v>
      </c>
      <c r="L45" s="14">
        <v>0</v>
      </c>
      <c r="M45" s="14" t="s">
        <v>28</v>
      </c>
      <c r="N45" s="14" t="s">
        <v>29</v>
      </c>
      <c r="O45" s="14" t="s">
        <v>28</v>
      </c>
      <c r="P45" s="86">
        <v>2400</v>
      </c>
      <c r="Q45" s="14">
        <v>1600</v>
      </c>
      <c r="R45" s="14">
        <v>1500</v>
      </c>
      <c r="S45" s="15">
        <v>60</v>
      </c>
      <c r="T45" s="14" t="s">
        <v>56</v>
      </c>
      <c r="U45" s="16">
        <v>9670595752</v>
      </c>
      <c r="V45" s="16">
        <v>3067365044</v>
      </c>
      <c r="W45" s="14">
        <v>4</v>
      </c>
      <c r="X45" s="14">
        <v>16</v>
      </c>
      <c r="Y45" s="14" t="s">
        <v>31</v>
      </c>
      <c r="Z45" s="14" t="s">
        <v>156</v>
      </c>
      <c r="AA45" s="14" t="str">
        <f>IF(Delivery_plan_24!$AG45= " ", " ",IF(AND(Delivery_plan_24!$AG45&gt;0,AG45= ""), " Ja", "Nein"))</f>
        <v>Nein</v>
      </c>
      <c r="AB45" s="14" t="str">
        <f>IF(Delivery_plan_24!$AC45= 0, " ",IF(Delivery_plan_24!$AG45= 100%, "Ja", "Nein"))</f>
        <v>Nein</v>
      </c>
      <c r="AC45" s="94">
        <v>16</v>
      </c>
      <c r="AD45" s="14">
        <f>Gant_24!$E192</f>
        <v>0</v>
      </c>
      <c r="AE45" s="14">
        <f>SUM(Gant_24!H193:BG193)</f>
        <v>0</v>
      </c>
      <c r="AF45" s="93">
        <f t="shared" si="1"/>
        <v>16</v>
      </c>
      <c r="AG45" s="17">
        <f>IF(ISERROR(Delivery_plan_24!$AE45/Delivery_plan_24!$AC45), " ", Delivery_plan_24!$AE45/Delivery_plan_24!$AC45)</f>
        <v>0</v>
      </c>
      <c r="AH45" s="92" t="s">
        <v>293</v>
      </c>
      <c r="AI45" s="90">
        <f ca="1">Gant_24!$E$194</f>
        <v>0</v>
      </c>
      <c r="AL45" t="str">
        <f>Table5[[#This Row],[LT-Lieferant]]</f>
        <v>mts Maschinenbau GmbH</v>
      </c>
      <c r="AM45" t="str">
        <f>Delivery_plan_24!$E45</f>
        <v>T524613</v>
      </c>
      <c r="AN45" s="8">
        <f>Delivery_plan_24!$U45</f>
        <v>9670595752</v>
      </c>
      <c r="AO45" s="8">
        <f>Delivery_plan_24!$V45</f>
        <v>3067365044</v>
      </c>
      <c r="AP45" s="7">
        <f>Delivery_plan_24!$AF45</f>
        <v>16</v>
      </c>
      <c r="AQ45" t="str">
        <f>IF(Table1[[#This Row],[Offen]]=" ", " 0 ",Delivery_plan_24!$AH45)</f>
        <v>jethavaromil@gmail.com</v>
      </c>
      <c r="AS45" t="str">
        <f>Table5[[#This Row],[T5_]]</f>
        <v>24613</v>
      </c>
      <c r="AT45" t="s">
        <v>285</v>
      </c>
      <c r="AU45">
        <f t="shared" si="0"/>
        <v>0.3</v>
      </c>
      <c r="AV45">
        <v>22</v>
      </c>
      <c r="AW45">
        <f>Table5[[#This Row],[L]]*Table5[[#This Row],[B]]*Table5[[#This Row],[H]]*Table5[[#This Row],[Füllmenge]]/1000000000</f>
        <v>345.6</v>
      </c>
      <c r="AX45">
        <f>Tabelle3[[#This Row],[Factor]]*Tabelle3[[#This Row],[How many days]]*Tabelle3[[#This Row],[Volumn*Menge]]/100</f>
        <v>22.8096</v>
      </c>
    </row>
    <row r="46" spans="2:50" x14ac:dyDescent="0.3">
      <c r="B46" s="60">
        <v>38</v>
      </c>
      <c r="C46" s="14" t="s">
        <v>20</v>
      </c>
      <c r="D46" s="14" t="s">
        <v>21</v>
      </c>
      <c r="E46" s="14" t="s">
        <v>169</v>
      </c>
      <c r="F46" s="14" t="str">
        <f>RIGHT(Delivery_plan_24!$E46,5)</f>
        <v>24614</v>
      </c>
      <c r="G46" s="14" t="s">
        <v>170</v>
      </c>
      <c r="H46" s="14" t="s">
        <v>171</v>
      </c>
      <c r="I46" s="14">
        <v>34471</v>
      </c>
      <c r="J46" s="14" t="s">
        <v>155</v>
      </c>
      <c r="K46" s="14" t="s">
        <v>77</v>
      </c>
      <c r="L46" s="14">
        <v>0</v>
      </c>
      <c r="M46" s="14" t="s">
        <v>28</v>
      </c>
      <c r="N46" s="14" t="s">
        <v>29</v>
      </c>
      <c r="O46" s="14" t="s">
        <v>28</v>
      </c>
      <c r="P46" s="86">
        <v>2400</v>
      </c>
      <c r="Q46" s="14">
        <v>1600</v>
      </c>
      <c r="R46" s="14">
        <v>1500</v>
      </c>
      <c r="S46" s="15">
        <v>60</v>
      </c>
      <c r="T46" s="14" t="s">
        <v>56</v>
      </c>
      <c r="U46" s="16">
        <v>9670595752</v>
      </c>
      <c r="V46" s="16">
        <v>3067365044</v>
      </c>
      <c r="W46" s="14">
        <v>4</v>
      </c>
      <c r="X46" s="14">
        <v>16</v>
      </c>
      <c r="Y46" s="14" t="s">
        <v>31</v>
      </c>
      <c r="Z46" s="14" t="s">
        <v>156</v>
      </c>
      <c r="AA46" s="14" t="str">
        <f>IF(Delivery_plan_24!$AG46= " ", " ",IF(AND(Delivery_plan_24!$AG46&gt;0,AG46= ""), " Ja", "Nein"))</f>
        <v>Nein</v>
      </c>
      <c r="AB46" s="14" t="str">
        <f>IF(Delivery_plan_24!$AC46= 0, " ",IF(Delivery_plan_24!$AG46= 100%, "Ja", "Nein"))</f>
        <v>Nein</v>
      </c>
      <c r="AC46" s="94">
        <v>16</v>
      </c>
      <c r="AD46" s="10">
        <f>Gant_24!$E197</f>
        <v>0</v>
      </c>
      <c r="AE46" s="14">
        <f>SUM(Gant_24!H198:BG198)</f>
        <v>0</v>
      </c>
      <c r="AF46" s="93">
        <f t="shared" si="1"/>
        <v>16</v>
      </c>
      <c r="AG46" s="17">
        <f>IF(ISERROR(Delivery_plan_24!$AE46/Delivery_plan_24!$AC46), " ", Delivery_plan_24!$AE46/Delivery_plan_24!$AC46)</f>
        <v>0</v>
      </c>
      <c r="AH46" s="92" t="s">
        <v>293</v>
      </c>
      <c r="AI46" s="90">
        <f ca="1">Gant_24!$E$199</f>
        <v>0</v>
      </c>
      <c r="AL46" t="str">
        <f>Table5[[#This Row],[LT-Lieferant]]</f>
        <v>mts Maschinenbau GmbH</v>
      </c>
      <c r="AM46" t="str">
        <f>Delivery_plan_24!$E46</f>
        <v>T524614</v>
      </c>
      <c r="AN46" s="8">
        <f>Delivery_plan_24!$U46</f>
        <v>9670595752</v>
      </c>
      <c r="AO46" s="8">
        <f>Delivery_plan_24!$V46</f>
        <v>3067365044</v>
      </c>
      <c r="AP46" s="7">
        <f>Delivery_plan_24!$AF46</f>
        <v>16</v>
      </c>
      <c r="AQ46" t="str">
        <f>IF(Table1[[#This Row],[Offen]]=" ", " 0 ",Delivery_plan_24!$AH46)</f>
        <v>jethavaromil@gmail.com</v>
      </c>
      <c r="AS46" t="str">
        <f>Table5[[#This Row],[T5_]]</f>
        <v>24614</v>
      </c>
      <c r="AT46" t="s">
        <v>285</v>
      </c>
      <c r="AU46">
        <f t="shared" si="0"/>
        <v>0.3</v>
      </c>
      <c r="AV46">
        <v>64</v>
      </c>
      <c r="AW46">
        <f>Table5[[#This Row],[L]]*Table5[[#This Row],[B]]*Table5[[#This Row],[H]]*Table5[[#This Row],[Füllmenge]]/1000000000</f>
        <v>345.6</v>
      </c>
      <c r="AX46">
        <f>Tabelle3[[#This Row],[Factor]]*Tabelle3[[#This Row],[How many days]]*Tabelle3[[#This Row],[Volumn*Menge]]/100</f>
        <v>66.355200000000011</v>
      </c>
    </row>
    <row r="47" spans="2:50" x14ac:dyDescent="0.3">
      <c r="B47" s="60">
        <v>39</v>
      </c>
      <c r="C47" s="14" t="s">
        <v>20</v>
      </c>
      <c r="D47" s="14" t="s">
        <v>21</v>
      </c>
      <c r="E47" s="14" t="s">
        <v>172</v>
      </c>
      <c r="F47" s="14" t="str">
        <f>RIGHT(Delivery_plan_24!$E47,5)</f>
        <v>24623</v>
      </c>
      <c r="G47" s="14" t="s">
        <v>173</v>
      </c>
      <c r="H47" s="14" t="s">
        <v>174</v>
      </c>
      <c r="I47" s="14">
        <v>34474</v>
      </c>
      <c r="J47" s="14" t="s">
        <v>155</v>
      </c>
      <c r="K47" s="14" t="s">
        <v>77</v>
      </c>
      <c r="L47" s="14">
        <v>0</v>
      </c>
      <c r="M47" s="14" t="s">
        <v>28</v>
      </c>
      <c r="N47" s="14" t="s">
        <v>29</v>
      </c>
      <c r="O47" s="14" t="s">
        <v>28</v>
      </c>
      <c r="P47" s="86">
        <v>2400</v>
      </c>
      <c r="Q47" s="14">
        <v>1600</v>
      </c>
      <c r="R47" s="14">
        <v>1500</v>
      </c>
      <c r="S47" s="15">
        <v>60</v>
      </c>
      <c r="T47" s="14" t="s">
        <v>56</v>
      </c>
      <c r="U47" s="16">
        <v>9670595752</v>
      </c>
      <c r="V47" s="16">
        <v>3067365044</v>
      </c>
      <c r="W47" s="14">
        <v>4</v>
      </c>
      <c r="X47" s="14">
        <v>16</v>
      </c>
      <c r="Y47" s="14" t="s">
        <v>31</v>
      </c>
      <c r="Z47" s="14" t="s">
        <v>156</v>
      </c>
      <c r="AA47" s="14" t="str">
        <f>IF(Delivery_plan_24!$AG47= " ", " ",IF(AND(Delivery_plan_24!$AG47&gt;0,AG47= ""), " Ja", "Nein"))</f>
        <v>Nein</v>
      </c>
      <c r="AB47" s="14" t="str">
        <f>IF(Delivery_plan_24!$AC47= 0, " ",IF(Delivery_plan_24!$AG47= 100%, "Ja", "Nein"))</f>
        <v>Nein</v>
      </c>
      <c r="AC47" s="94">
        <v>16</v>
      </c>
      <c r="AD47" s="14">
        <f>Gant_24!$E202</f>
        <v>0</v>
      </c>
      <c r="AE47" s="14">
        <f>SUM(Gant_24!H203:BG203)</f>
        <v>0</v>
      </c>
      <c r="AF47" s="93">
        <f t="shared" si="1"/>
        <v>16</v>
      </c>
      <c r="AG47" s="17">
        <f>IF(ISERROR(Delivery_plan_24!$AE47/Delivery_plan_24!$AC47), " ", Delivery_plan_24!$AE47/Delivery_plan_24!$AC47)</f>
        <v>0</v>
      </c>
      <c r="AH47" s="92" t="s">
        <v>293</v>
      </c>
      <c r="AI47" s="90">
        <f ca="1">Gant_24!$E$204</f>
        <v>0</v>
      </c>
      <c r="AL47" t="str">
        <f>Table5[[#This Row],[LT-Lieferant]]</f>
        <v>mts Maschinenbau GmbH</v>
      </c>
      <c r="AM47" t="str">
        <f>Delivery_plan_24!$E47</f>
        <v>T524623</v>
      </c>
      <c r="AN47" s="8">
        <f>Delivery_plan_24!$U47</f>
        <v>9670595752</v>
      </c>
      <c r="AO47" s="8">
        <f>Delivery_plan_24!$V47</f>
        <v>3067365044</v>
      </c>
      <c r="AP47" s="7">
        <f>Delivery_plan_24!$AF47</f>
        <v>16</v>
      </c>
      <c r="AQ47" t="str">
        <f>IF(Table1[[#This Row],[Offen]]=" ", " 0 ",Delivery_plan_24!$AH47)</f>
        <v>jethavaromil@gmail.com</v>
      </c>
      <c r="AS47" t="str">
        <f>Table5[[#This Row],[T5_]]</f>
        <v>24623</v>
      </c>
      <c r="AT47" t="s">
        <v>285</v>
      </c>
      <c r="AU47">
        <f t="shared" si="0"/>
        <v>0.3</v>
      </c>
      <c r="AV47">
        <v>24</v>
      </c>
      <c r="AW47">
        <f>Table5[[#This Row],[L]]*Table5[[#This Row],[B]]*Table5[[#This Row],[H]]*Table5[[#This Row],[Füllmenge]]/1000000000</f>
        <v>345.6</v>
      </c>
      <c r="AX47">
        <f>Tabelle3[[#This Row],[Factor]]*Tabelle3[[#This Row],[How many days]]*Tabelle3[[#This Row],[Volumn*Menge]]/100</f>
        <v>24.883199999999999</v>
      </c>
    </row>
    <row r="48" spans="2:50" x14ac:dyDescent="0.3">
      <c r="B48" s="60">
        <v>40</v>
      </c>
      <c r="C48" s="14" t="s">
        <v>20</v>
      </c>
      <c r="D48" s="14" t="s">
        <v>21</v>
      </c>
      <c r="E48" s="14" t="s">
        <v>175</v>
      </c>
      <c r="F48" s="14" t="str">
        <f>RIGHT(Delivery_plan_24!$E48,5)</f>
        <v>24624</v>
      </c>
      <c r="G48" s="14" t="s">
        <v>176</v>
      </c>
      <c r="H48" s="14" t="s">
        <v>177</v>
      </c>
      <c r="I48" s="14">
        <v>34473</v>
      </c>
      <c r="J48" s="14" t="s">
        <v>155</v>
      </c>
      <c r="K48" s="14" t="s">
        <v>77</v>
      </c>
      <c r="L48" s="14">
        <v>0</v>
      </c>
      <c r="M48" s="14" t="s">
        <v>28</v>
      </c>
      <c r="N48" s="14" t="s">
        <v>29</v>
      </c>
      <c r="O48" s="14" t="s">
        <v>28</v>
      </c>
      <c r="P48" s="86">
        <v>2400</v>
      </c>
      <c r="Q48" s="14">
        <v>1600</v>
      </c>
      <c r="R48" s="14">
        <v>1500</v>
      </c>
      <c r="S48" s="15">
        <v>60</v>
      </c>
      <c r="T48" s="14" t="s">
        <v>56</v>
      </c>
      <c r="U48" s="16">
        <v>9670595752</v>
      </c>
      <c r="V48" s="16">
        <v>3067365044</v>
      </c>
      <c r="W48" s="14">
        <v>4</v>
      </c>
      <c r="X48" s="14">
        <v>16</v>
      </c>
      <c r="Y48" s="14" t="s">
        <v>31</v>
      </c>
      <c r="Z48" s="14" t="s">
        <v>156</v>
      </c>
      <c r="AA48" s="14" t="str">
        <f>IF(Delivery_plan_24!$AG48= " ", " ",IF(AND(Delivery_plan_24!$AG48&gt;0,AG48= ""), " Ja", "Nein"))</f>
        <v>Nein</v>
      </c>
      <c r="AB48" s="14" t="str">
        <f>IF(Delivery_plan_24!$AC48= 0, " ",IF(Delivery_plan_24!$AG48= 100%, "Ja", "Nein"))</f>
        <v>Nein</v>
      </c>
      <c r="AC48" s="94">
        <v>16</v>
      </c>
      <c r="AD48" s="10">
        <f>Gant_24!$E207</f>
        <v>0</v>
      </c>
      <c r="AE48" s="14">
        <f>SUM(Gant_24!H208:BG208)</f>
        <v>0</v>
      </c>
      <c r="AF48" s="93">
        <f t="shared" si="1"/>
        <v>16</v>
      </c>
      <c r="AG48" s="17">
        <f>IF(ISERROR(Delivery_plan_24!$AE48/Delivery_plan_24!$AC48), " ", Delivery_plan_24!$AE48/Delivery_plan_24!$AC48)</f>
        <v>0</v>
      </c>
      <c r="AH48" s="92" t="s">
        <v>293</v>
      </c>
      <c r="AI48" s="90">
        <f ca="1">Gant_24!$E$209</f>
        <v>0</v>
      </c>
      <c r="AL48" t="str">
        <f>Table5[[#This Row],[LT-Lieferant]]</f>
        <v>mts Maschinenbau GmbH</v>
      </c>
      <c r="AM48" t="str">
        <f>Delivery_plan_24!$E48</f>
        <v>T524624</v>
      </c>
      <c r="AN48" s="8">
        <f>Delivery_plan_24!$U48</f>
        <v>9670595752</v>
      </c>
      <c r="AO48" s="8">
        <f>Delivery_plan_24!$V48</f>
        <v>3067365044</v>
      </c>
      <c r="AP48" s="7">
        <f>Delivery_plan_24!$AF48</f>
        <v>16</v>
      </c>
      <c r="AQ48" t="str">
        <f>IF(Table1[[#This Row],[Offen]]=" ", " 0 ",Delivery_plan_24!$AH48)</f>
        <v>jethavaromil@gmail.com</v>
      </c>
      <c r="AS48" t="str">
        <f>Table5[[#This Row],[T5_]]</f>
        <v>24624</v>
      </c>
      <c r="AT48" t="s">
        <v>286</v>
      </c>
      <c r="AU48">
        <f t="shared" si="0"/>
        <v>0.5</v>
      </c>
      <c r="AV48">
        <v>2</v>
      </c>
      <c r="AW48">
        <f>Table5[[#This Row],[L]]*Table5[[#This Row],[B]]*Table5[[#This Row],[H]]*Table5[[#This Row],[Füllmenge]]/1000000000</f>
        <v>345.6</v>
      </c>
      <c r="AX48">
        <f>Tabelle3[[#This Row],[Factor]]*Tabelle3[[#This Row],[How many days]]*Tabelle3[[#This Row],[Volumn*Menge]]/100</f>
        <v>3.4560000000000004</v>
      </c>
    </row>
    <row r="49" spans="2:50" x14ac:dyDescent="0.3">
      <c r="B49" s="60">
        <v>41</v>
      </c>
      <c r="C49" s="14" t="s">
        <v>20</v>
      </c>
      <c r="D49" s="14" t="s">
        <v>21</v>
      </c>
      <c r="E49" s="14" t="s">
        <v>178</v>
      </c>
      <c r="F49" s="14" t="str">
        <f>RIGHT(Delivery_plan_24!$E49,5)</f>
        <v>24615</v>
      </c>
      <c r="G49" s="14" t="s">
        <v>179</v>
      </c>
      <c r="H49" s="14" t="s">
        <v>180</v>
      </c>
      <c r="I49" s="14">
        <v>34476</v>
      </c>
      <c r="J49" s="14" t="s">
        <v>155</v>
      </c>
      <c r="K49" s="14" t="s">
        <v>77</v>
      </c>
      <c r="L49" s="14">
        <v>0</v>
      </c>
      <c r="M49" s="14" t="s">
        <v>28</v>
      </c>
      <c r="N49" s="14" t="s">
        <v>29</v>
      </c>
      <c r="O49" s="14" t="s">
        <v>28</v>
      </c>
      <c r="P49" s="86">
        <v>2400</v>
      </c>
      <c r="Q49" s="14">
        <v>1600</v>
      </c>
      <c r="R49" s="14">
        <v>1500</v>
      </c>
      <c r="S49" s="15">
        <v>76</v>
      </c>
      <c r="T49" s="14" t="s">
        <v>46</v>
      </c>
      <c r="U49" s="16">
        <v>9670595755</v>
      </c>
      <c r="V49" s="16">
        <v>3067365048</v>
      </c>
      <c r="W49" s="14">
        <v>9</v>
      </c>
      <c r="X49" s="14">
        <v>16</v>
      </c>
      <c r="Y49" s="14" t="s">
        <v>31</v>
      </c>
      <c r="Z49" s="14" t="s">
        <v>156</v>
      </c>
      <c r="AA49" s="14" t="str">
        <f>IF(Delivery_plan_24!$AG49= " ", " ",IF(AND(Delivery_plan_24!$AG49&gt;0,AG49= ""), " Ja", "Nein"))</f>
        <v>Nein</v>
      </c>
      <c r="AB49" s="14" t="str">
        <f>IF(Delivery_plan_24!$AC49= 0, " ",IF(Delivery_plan_24!$AG49= 100%, "Ja", "Nein"))</f>
        <v>Nein</v>
      </c>
      <c r="AC49" s="94">
        <v>16</v>
      </c>
      <c r="AD49" s="14">
        <f>Gant_24!$E212</f>
        <v>0</v>
      </c>
      <c r="AE49" s="14">
        <f>SUM(Gant_24!H213:BG213)</f>
        <v>0</v>
      </c>
      <c r="AF49" s="93">
        <f t="shared" si="1"/>
        <v>16</v>
      </c>
      <c r="AG49" s="17">
        <f>IF(ISERROR(Delivery_plan_24!$AE49/Delivery_plan_24!$AC49), " ", Delivery_plan_24!$AE49/Delivery_plan_24!$AC49)</f>
        <v>0</v>
      </c>
      <c r="AH49" s="92" t="s">
        <v>293</v>
      </c>
      <c r="AI49" s="90">
        <f ca="1">Gant_24!$E$214</f>
        <v>0</v>
      </c>
      <c r="AL49" t="str">
        <f>Table5[[#This Row],[LT-Lieferant]]</f>
        <v>mts Maschinenbau GmbH</v>
      </c>
      <c r="AM49" t="str">
        <f>Delivery_plan_24!$E49</f>
        <v>T524615</v>
      </c>
      <c r="AN49" s="8">
        <f>Delivery_plan_24!$U49</f>
        <v>9670595755</v>
      </c>
      <c r="AO49" s="8">
        <f>Delivery_plan_24!$V49</f>
        <v>3067365048</v>
      </c>
      <c r="AP49" s="7">
        <f>Delivery_plan_24!$AF49</f>
        <v>16</v>
      </c>
      <c r="AQ49" t="str">
        <f>IF(Table1[[#This Row],[Offen]]=" ", " 0 ",Delivery_plan_24!$AH49)</f>
        <v>jethavaromil@gmail.com</v>
      </c>
      <c r="AS49" t="str">
        <f>Table5[[#This Row],[T5_]]</f>
        <v>24615</v>
      </c>
      <c r="AT49" t="s">
        <v>289</v>
      </c>
      <c r="AU49">
        <f t="shared" si="0"/>
        <v>0.2</v>
      </c>
      <c r="AV49">
        <v>73</v>
      </c>
      <c r="AW49">
        <f>Table5[[#This Row],[L]]*Table5[[#This Row],[B]]*Table5[[#This Row],[H]]*Table5[[#This Row],[Füllmenge]]/1000000000</f>
        <v>437.76</v>
      </c>
      <c r="AX49">
        <f>Tabelle3[[#This Row],[Factor]]*Tabelle3[[#This Row],[How many days]]*Tabelle3[[#This Row],[Volumn*Menge]]/100</f>
        <v>63.912960000000005</v>
      </c>
    </row>
    <row r="50" spans="2:50" x14ac:dyDescent="0.3">
      <c r="B50" s="60">
        <v>42</v>
      </c>
      <c r="C50" s="14" t="s">
        <v>20</v>
      </c>
      <c r="D50" s="14" t="s">
        <v>21</v>
      </c>
      <c r="E50" s="14" t="s">
        <v>181</v>
      </c>
      <c r="F50" s="14" t="str">
        <f>RIGHT(Delivery_plan_24!$E50,5)</f>
        <v>24616</v>
      </c>
      <c r="G50" s="14" t="s">
        <v>182</v>
      </c>
      <c r="H50" s="14" t="s">
        <v>183</v>
      </c>
      <c r="I50" s="14">
        <v>34477</v>
      </c>
      <c r="J50" s="14" t="s">
        <v>155</v>
      </c>
      <c r="K50" s="14" t="s">
        <v>77</v>
      </c>
      <c r="L50" s="14">
        <v>0</v>
      </c>
      <c r="M50" s="14" t="s">
        <v>28</v>
      </c>
      <c r="N50" s="14" t="s">
        <v>29</v>
      </c>
      <c r="O50" s="14" t="s">
        <v>28</v>
      </c>
      <c r="P50" s="86">
        <v>2400</v>
      </c>
      <c r="Q50" s="14">
        <v>1600</v>
      </c>
      <c r="R50" s="14">
        <v>1500</v>
      </c>
      <c r="S50" s="15">
        <v>76</v>
      </c>
      <c r="T50" s="14" t="s">
        <v>46</v>
      </c>
      <c r="U50" s="16">
        <v>9670595755</v>
      </c>
      <c r="V50" s="16">
        <v>3067365048</v>
      </c>
      <c r="W50" s="14">
        <v>9</v>
      </c>
      <c r="X50" s="14">
        <v>16</v>
      </c>
      <c r="Y50" s="14" t="s">
        <v>31</v>
      </c>
      <c r="Z50" s="14" t="s">
        <v>156</v>
      </c>
      <c r="AA50" s="14" t="str">
        <f>IF(Delivery_plan_24!$AG50= " ", " ",IF(AND(Delivery_plan_24!$AG50&gt;0,AG50= ""), " Ja", "Nein"))</f>
        <v>Nein</v>
      </c>
      <c r="AB50" s="14" t="str">
        <f>IF(Delivery_plan_24!$AC50= 0, " ",IF(Delivery_plan_24!$AG50= 100%, "Ja", "Nein"))</f>
        <v>Nein</v>
      </c>
      <c r="AC50" s="94">
        <v>16</v>
      </c>
      <c r="AD50" s="10">
        <f>Gant_24!$E217</f>
        <v>0</v>
      </c>
      <c r="AE50" s="14">
        <f>SUM(Gant_24!H218:BG218)</f>
        <v>0</v>
      </c>
      <c r="AF50" s="93">
        <f t="shared" si="1"/>
        <v>16</v>
      </c>
      <c r="AG50" s="17">
        <f>IF(ISERROR(Delivery_plan_24!$AE50/Delivery_plan_24!$AC50), " ", Delivery_plan_24!$AE50/Delivery_plan_24!$AC50)</f>
        <v>0</v>
      </c>
      <c r="AH50" s="92" t="s">
        <v>293</v>
      </c>
      <c r="AI50" s="90">
        <f ca="1">Gant_24!$E$219</f>
        <v>0</v>
      </c>
      <c r="AL50" t="str">
        <f>Table5[[#This Row],[LT-Lieferant]]</f>
        <v>mts Maschinenbau GmbH</v>
      </c>
      <c r="AM50" t="str">
        <f>Delivery_plan_24!$E50</f>
        <v>T524616</v>
      </c>
      <c r="AN50" s="8">
        <f>Delivery_plan_24!$U50</f>
        <v>9670595755</v>
      </c>
      <c r="AO50" s="8">
        <f>Delivery_plan_24!$V50</f>
        <v>3067365048</v>
      </c>
      <c r="AP50" s="7">
        <f>Delivery_plan_24!$AF50</f>
        <v>16</v>
      </c>
      <c r="AQ50" t="str">
        <f>IF(Table1[[#This Row],[Offen]]=" ", " 0 ",Delivery_plan_24!$AH50)</f>
        <v>jethavaromil@gmail.com</v>
      </c>
      <c r="AS50" t="str">
        <f>Table5[[#This Row],[T5_]]</f>
        <v>24616</v>
      </c>
      <c r="AT50" t="s">
        <v>285</v>
      </c>
      <c r="AU50">
        <f>IF(AT50="Umbau", 0.3, IF(AT50= "Reklamation", 0.5, IF(AT50="Muster r", 0.2,0)))</f>
        <v>0.3</v>
      </c>
      <c r="AV50">
        <v>22</v>
      </c>
      <c r="AW50">
        <f>Table5[[#This Row],[L]]*Table5[[#This Row],[B]]*Table5[[#This Row],[H]]*Table5[[#This Row],[Füllmenge]]/1000000000</f>
        <v>437.76</v>
      </c>
      <c r="AX50">
        <f>Tabelle3[[#This Row],[Factor]]*Tabelle3[[#This Row],[How many days]]*Tabelle3[[#This Row],[Volumn*Menge]]/100</f>
        <v>28.892160000000001</v>
      </c>
    </row>
    <row r="51" spans="2:50" x14ac:dyDescent="0.3">
      <c r="B51" s="60">
        <v>43</v>
      </c>
      <c r="C51" s="14" t="s">
        <v>20</v>
      </c>
      <c r="D51" s="14" t="s">
        <v>21</v>
      </c>
      <c r="E51" s="14" t="s">
        <v>184</v>
      </c>
      <c r="F51" s="14" t="str">
        <f>RIGHT(Delivery_plan_24!$E51,5)</f>
        <v>24625</v>
      </c>
      <c r="G51" s="14" t="s">
        <v>185</v>
      </c>
      <c r="H51" s="14" t="s">
        <v>186</v>
      </c>
      <c r="I51" s="14">
        <v>34476</v>
      </c>
      <c r="J51" s="14" t="s">
        <v>155</v>
      </c>
      <c r="K51" s="14" t="s">
        <v>77</v>
      </c>
      <c r="L51" s="14">
        <v>0</v>
      </c>
      <c r="M51" s="14" t="s">
        <v>28</v>
      </c>
      <c r="N51" s="14" t="s">
        <v>29</v>
      </c>
      <c r="O51" s="14" t="s">
        <v>28</v>
      </c>
      <c r="P51" s="86">
        <v>2400</v>
      </c>
      <c r="Q51" s="14">
        <v>1600</v>
      </c>
      <c r="R51" s="14">
        <v>1500</v>
      </c>
      <c r="S51" s="15">
        <v>68</v>
      </c>
      <c r="T51" s="14" t="s">
        <v>46</v>
      </c>
      <c r="U51" s="16">
        <v>9670595755</v>
      </c>
      <c r="V51" s="16">
        <v>3067365048</v>
      </c>
      <c r="W51" s="14">
        <v>9</v>
      </c>
      <c r="X51" s="14">
        <v>16</v>
      </c>
      <c r="Y51" s="14" t="s">
        <v>31</v>
      </c>
      <c r="Z51" s="14" t="s">
        <v>156</v>
      </c>
      <c r="AA51" s="14" t="str">
        <f>IF(Delivery_plan_24!$AG51= " ", " ",IF(AND(Delivery_plan_24!$AG51&gt;0,AG51= ""), " Ja", "Nein"))</f>
        <v>Nein</v>
      </c>
      <c r="AB51" s="14" t="str">
        <f>IF(Delivery_plan_24!$AC51= 0, " ",IF(Delivery_plan_24!$AG51= 100%, "Ja", "Nein"))</f>
        <v>Ja</v>
      </c>
      <c r="AC51" s="94">
        <v>16</v>
      </c>
      <c r="AD51" s="14">
        <f>Gant_24!$E222</f>
        <v>0</v>
      </c>
      <c r="AE51" s="14">
        <f>SUM(Gant_24!H223:BG223)</f>
        <v>16</v>
      </c>
      <c r="AF51" s="93">
        <f t="shared" si="1"/>
        <v>0</v>
      </c>
      <c r="AG51" s="17">
        <f>IF(ISERROR(Delivery_plan_24!$AE51/Delivery_plan_24!$AC51), " ", Delivery_plan_24!$AE51/Delivery_plan_24!$AC51)</f>
        <v>1</v>
      </c>
      <c r="AH51" s="92" t="s">
        <v>293</v>
      </c>
      <c r="AI51" s="90">
        <f ca="1">Gant_24!$E$224</f>
        <v>0</v>
      </c>
      <c r="AL51" t="str">
        <f>Table5[[#This Row],[LT-Lieferant]]</f>
        <v>mts Maschinenbau GmbH</v>
      </c>
      <c r="AM51" t="str">
        <f>Delivery_plan_24!$E51</f>
        <v>T524625</v>
      </c>
      <c r="AN51" s="8">
        <f>Delivery_plan_24!$U51</f>
        <v>9670595755</v>
      </c>
      <c r="AO51" s="8">
        <f>Delivery_plan_24!$V51</f>
        <v>3067365048</v>
      </c>
      <c r="AP51" s="7">
        <f>Delivery_plan_24!$AF51</f>
        <v>0</v>
      </c>
      <c r="AQ51" t="str">
        <f>IF(Table1[[#This Row],[Offen]]=" ", " 0 ",Delivery_plan_24!$AH51)</f>
        <v>jethavaromil@gmail.com</v>
      </c>
      <c r="AS51" t="str">
        <f>Table5[[#This Row],[T5_]]</f>
        <v>24625</v>
      </c>
      <c r="AT51" t="s">
        <v>285</v>
      </c>
      <c r="AU51">
        <f>IF(AT51="Umbau", 0.3, IF(AT51= "Reklamation", 0.5, IF(AT51="Muster",0.2,0)))</f>
        <v>0.3</v>
      </c>
      <c r="AV51">
        <v>22</v>
      </c>
      <c r="AW51">
        <f>Table5[[#This Row],[L]]*Table5[[#This Row],[B]]*Table5[[#This Row],[H]]*Table5[[#This Row],[Füllmenge]]/1000000000</f>
        <v>391.68</v>
      </c>
      <c r="AX51">
        <f>Tabelle3[[#This Row],[Factor]]*Tabelle3[[#This Row],[How many days]]*Tabelle3[[#This Row],[Volumn*Menge]]/100</f>
        <v>25.850879999999997</v>
      </c>
    </row>
    <row r="52" spans="2:50" x14ac:dyDescent="0.3">
      <c r="B52" s="60">
        <v>44</v>
      </c>
      <c r="C52" s="14" t="s">
        <v>20</v>
      </c>
      <c r="D52" s="14" t="s">
        <v>21</v>
      </c>
      <c r="E52" s="14" t="s">
        <v>187</v>
      </c>
      <c r="F52" s="14" t="str">
        <f>RIGHT(Delivery_plan_24!$E52,5)</f>
        <v>24626</v>
      </c>
      <c r="G52" s="14" t="s">
        <v>188</v>
      </c>
      <c r="H52" s="14" t="s">
        <v>189</v>
      </c>
      <c r="I52" s="14">
        <v>34477</v>
      </c>
      <c r="J52" s="14" t="s">
        <v>155</v>
      </c>
      <c r="K52" s="14" t="s">
        <v>77</v>
      </c>
      <c r="L52" s="14">
        <v>0</v>
      </c>
      <c r="M52" s="14" t="s">
        <v>28</v>
      </c>
      <c r="N52" s="14" t="s">
        <v>29</v>
      </c>
      <c r="O52" s="14" t="s">
        <v>28</v>
      </c>
      <c r="P52" s="86">
        <v>2400</v>
      </c>
      <c r="Q52" s="14">
        <v>1600</v>
      </c>
      <c r="R52" s="14">
        <v>1500</v>
      </c>
      <c r="S52" s="15">
        <v>68</v>
      </c>
      <c r="T52" s="14" t="s">
        <v>46</v>
      </c>
      <c r="U52" s="16">
        <v>9670595755</v>
      </c>
      <c r="V52" s="16">
        <v>3067365048</v>
      </c>
      <c r="W52" s="14">
        <v>9</v>
      </c>
      <c r="X52" s="14">
        <v>16</v>
      </c>
      <c r="Y52" s="14" t="s">
        <v>31</v>
      </c>
      <c r="Z52" s="14" t="s">
        <v>156</v>
      </c>
      <c r="AA52" s="14" t="str">
        <f>IF(Delivery_plan_24!$AG52= " ", " ",IF(AND(Delivery_plan_24!$AG52&gt;0,AG52= ""), " Ja", "Nein"))</f>
        <v>Nein</v>
      </c>
      <c r="AB52" s="14" t="str">
        <f>IF(Delivery_plan_24!$AC52= 0, " ",IF(Delivery_plan_24!$AG52= 100%, "Ja", "Nein"))</f>
        <v>Ja</v>
      </c>
      <c r="AC52" s="94">
        <v>16</v>
      </c>
      <c r="AD52" s="10">
        <f>Gant_24!$E227</f>
        <v>0</v>
      </c>
      <c r="AE52" s="14">
        <f>SUM(Gant_24!H228:BG228)</f>
        <v>16</v>
      </c>
      <c r="AF52" s="93">
        <f t="shared" si="1"/>
        <v>0</v>
      </c>
      <c r="AG52" s="17">
        <f>IF(ISERROR(Delivery_plan_24!$AE52/Delivery_plan_24!$AC52), " ", Delivery_plan_24!$AE52/Delivery_plan_24!$AC52)</f>
        <v>1</v>
      </c>
      <c r="AH52" s="92" t="s">
        <v>293</v>
      </c>
      <c r="AI52" s="90">
        <f ca="1">Gant_24!$E$229</f>
        <v>0</v>
      </c>
      <c r="AL52" t="str">
        <f>Table5[[#This Row],[LT-Lieferant]]</f>
        <v>mts Maschinenbau GmbH</v>
      </c>
      <c r="AM52" t="str">
        <f>Delivery_plan_24!$E52</f>
        <v>T524626</v>
      </c>
      <c r="AN52" s="8">
        <f>Delivery_plan_24!$U52</f>
        <v>9670595755</v>
      </c>
      <c r="AO52" s="8">
        <f>Delivery_plan_24!$V52</f>
        <v>3067365048</v>
      </c>
      <c r="AP52" s="7">
        <f>Delivery_plan_24!$AF52</f>
        <v>0</v>
      </c>
      <c r="AQ52" t="str">
        <f>IF(Table1[[#This Row],[Offen]]=" ", " 0 ",Delivery_plan_24!$AH52)</f>
        <v>jethavaromil@gmail.com</v>
      </c>
      <c r="AS52" t="str">
        <f>Table5[[#This Row],[T5_]]</f>
        <v>24626</v>
      </c>
      <c r="AT52" t="s">
        <v>289</v>
      </c>
      <c r="AU52">
        <f>IF(AT52="Umbau", 0.3, IF(AT52= "Reklamation", 0.5, IF(AT52="Muster",0.2,0)))</f>
        <v>0.2</v>
      </c>
      <c r="AV52">
        <v>11</v>
      </c>
      <c r="AW52">
        <f>Table5[[#This Row],[L]]*Table5[[#This Row],[B]]*Table5[[#This Row],[H]]*Table5[[#This Row],[Füllmenge]]/1000000000</f>
        <v>391.68</v>
      </c>
      <c r="AX52">
        <f>Tabelle3[[#This Row],[Factor]]*Tabelle3[[#This Row],[How many days]]*Tabelle3[[#This Row],[Volumn*Menge]]/100</f>
        <v>8.6169600000000006</v>
      </c>
    </row>
    <row r="53" spans="2:50" x14ac:dyDescent="0.3">
      <c r="B53" s="60">
        <v>45</v>
      </c>
      <c r="C53" s="14" t="s">
        <v>20</v>
      </c>
      <c r="D53" s="14" t="s">
        <v>21</v>
      </c>
      <c r="E53" s="14" t="s">
        <v>190</v>
      </c>
      <c r="F53" s="14" t="str">
        <f>RIGHT(Delivery_plan_24!$E53,5)</f>
        <v>24635</v>
      </c>
      <c r="G53" s="14" t="s">
        <v>191</v>
      </c>
      <c r="H53" s="14" t="s">
        <v>192</v>
      </c>
      <c r="I53" s="14">
        <v>34483</v>
      </c>
      <c r="J53" s="14" t="s">
        <v>155</v>
      </c>
      <c r="K53" s="14" t="s">
        <v>68</v>
      </c>
      <c r="L53" s="14">
        <v>0</v>
      </c>
      <c r="M53" s="14" t="s">
        <v>28</v>
      </c>
      <c r="N53" s="14" t="s">
        <v>29</v>
      </c>
      <c r="O53" s="14" t="s">
        <v>28</v>
      </c>
      <c r="P53" s="86">
        <v>2400</v>
      </c>
      <c r="Q53" s="14">
        <v>1600</v>
      </c>
      <c r="R53" s="14">
        <v>1300</v>
      </c>
      <c r="S53" s="15">
        <v>14</v>
      </c>
      <c r="T53" s="14" t="s">
        <v>56</v>
      </c>
      <c r="U53" s="16">
        <v>9670595764</v>
      </c>
      <c r="V53" s="16">
        <v>3067365039</v>
      </c>
      <c r="W53" s="14">
        <v>14</v>
      </c>
      <c r="X53" s="14">
        <v>24</v>
      </c>
      <c r="Y53" s="14" t="s">
        <v>47</v>
      </c>
      <c r="Z53" s="14" t="s">
        <v>193</v>
      </c>
      <c r="AA53" s="14" t="str">
        <f>IF(Delivery_plan_24!$AG53= " ", " ",IF(AND(Delivery_plan_24!$AG53&gt;0,AG53= ""), " Ja", "Nein"))</f>
        <v>Nein</v>
      </c>
      <c r="AB53" s="14" t="str">
        <f>IF(Delivery_plan_24!$AC53= 0, " ",IF(Delivery_plan_24!$AG53= 100%, "Ja", "Nein"))</f>
        <v>Ja</v>
      </c>
      <c r="AC53" s="94">
        <v>24</v>
      </c>
      <c r="AD53" s="14">
        <f>Gant_24!$E232</f>
        <v>0</v>
      </c>
      <c r="AE53" s="14">
        <f>SUM(Gant_24!H233:BG233)</f>
        <v>24</v>
      </c>
      <c r="AF53" s="93">
        <f t="shared" si="1"/>
        <v>0</v>
      </c>
      <c r="AG53" s="17">
        <f>IF(ISERROR(Delivery_plan_24!$AE53/Delivery_plan_24!$AC53), " ", Delivery_plan_24!$AE53/Delivery_plan_24!$AC53)</f>
        <v>1</v>
      </c>
      <c r="AH53" s="92" t="s">
        <v>293</v>
      </c>
      <c r="AI53" s="90">
        <f ca="1">Gant_24!$E$234</f>
        <v>0</v>
      </c>
      <c r="AL53" t="str">
        <f>Table5[[#This Row],[LT-Lieferant]]</f>
        <v>Schneider Transport- und Lagerbehälter GmbH &amp; Co. KG</v>
      </c>
      <c r="AM53" t="str">
        <f>Delivery_plan_24!$E53</f>
        <v>T524635</v>
      </c>
      <c r="AN53" s="8">
        <f>Delivery_plan_24!$U53</f>
        <v>9670595764</v>
      </c>
      <c r="AO53" s="8">
        <f>Delivery_plan_24!$V53</f>
        <v>3067365039</v>
      </c>
      <c r="AP53" s="7">
        <f>Delivery_plan_24!$AF53</f>
        <v>0</v>
      </c>
      <c r="AQ53" t="str">
        <f>IF(Table1[[#This Row],[Offen]]=" ", " 0 ",Delivery_plan_24!$AH53)</f>
        <v>jethavaromil@gmail.com</v>
      </c>
      <c r="AS53" t="str">
        <f>Table5[[#This Row],[T5_]]</f>
        <v>24635</v>
      </c>
      <c r="AT53" t="s">
        <v>289</v>
      </c>
      <c r="AU53">
        <f>IF(AT53="Umbau", 0.3, IF(AT53= "Reklamation", 0.5, IF(AT53="Muster",0.2,0)))</f>
        <v>0.2</v>
      </c>
      <c r="AV53">
        <v>29</v>
      </c>
      <c r="AW53">
        <f>Table5[[#This Row],[L]]*Table5[[#This Row],[B]]*Table5[[#This Row],[H]]*Table5[[#This Row],[Füllmenge]]/1000000000</f>
        <v>69.888000000000005</v>
      </c>
      <c r="AX53">
        <f>Tabelle3[[#This Row],[Factor]]*Tabelle3[[#This Row],[How many days]]*Tabelle3[[#This Row],[Volumn*Menge]]/100</f>
        <v>4.0535040000000011</v>
      </c>
    </row>
    <row r="54" spans="2:50" x14ac:dyDescent="0.3">
      <c r="B54" s="60">
        <v>46</v>
      </c>
      <c r="C54" s="14" t="s">
        <v>20</v>
      </c>
      <c r="D54" s="14" t="s">
        <v>21</v>
      </c>
      <c r="E54" s="14" t="s">
        <v>194</v>
      </c>
      <c r="F54" s="14" t="str">
        <f>RIGHT(Delivery_plan_24!$E54,5)</f>
        <v>24636</v>
      </c>
      <c r="G54" s="14" t="s">
        <v>195</v>
      </c>
      <c r="H54" s="14" t="s">
        <v>196</v>
      </c>
      <c r="I54" s="14">
        <v>34482</v>
      </c>
      <c r="J54" s="14" t="s">
        <v>155</v>
      </c>
      <c r="K54" s="14" t="s">
        <v>68</v>
      </c>
      <c r="L54" s="14">
        <v>0</v>
      </c>
      <c r="M54" s="14" t="s">
        <v>28</v>
      </c>
      <c r="N54" s="14" t="s">
        <v>29</v>
      </c>
      <c r="O54" s="14" t="s">
        <v>28</v>
      </c>
      <c r="P54" s="86">
        <v>2400</v>
      </c>
      <c r="Q54" s="14">
        <v>1600</v>
      </c>
      <c r="R54" s="14">
        <v>1300</v>
      </c>
      <c r="S54" s="15">
        <v>14</v>
      </c>
      <c r="T54" s="14" t="s">
        <v>56</v>
      </c>
      <c r="U54" s="16">
        <v>9670595764</v>
      </c>
      <c r="V54" s="16">
        <v>3067365039</v>
      </c>
      <c r="W54" s="14">
        <v>14</v>
      </c>
      <c r="X54" s="14">
        <v>24</v>
      </c>
      <c r="Y54" s="14" t="s">
        <v>47</v>
      </c>
      <c r="Z54" s="14" t="s">
        <v>193</v>
      </c>
      <c r="AA54" s="14" t="str">
        <f>IF(Delivery_plan_24!$AG54= " ", " ",IF(AND(Delivery_plan_24!$AG54&gt;0,AG54= ""), " Ja", "Nein"))</f>
        <v>Nein</v>
      </c>
      <c r="AB54" s="14" t="str">
        <f>IF(Delivery_plan_24!$AC54= 0, " ",IF(Delivery_plan_24!$AG54= 100%, "Ja", "Nein"))</f>
        <v>Nein</v>
      </c>
      <c r="AC54" s="94">
        <v>24</v>
      </c>
      <c r="AD54" s="10">
        <f>Gant_24!$E237</f>
        <v>0</v>
      </c>
      <c r="AE54" s="14">
        <f>SUM(Gant_24!H238:BG238)</f>
        <v>16</v>
      </c>
      <c r="AF54" s="93">
        <f t="shared" si="1"/>
        <v>8</v>
      </c>
      <c r="AG54" s="17">
        <f>IF(ISERROR(Delivery_plan_24!$AE54/Delivery_plan_24!$AC54), " ", Delivery_plan_24!$AE54/Delivery_plan_24!$AC54)</f>
        <v>0.66666666666666663</v>
      </c>
      <c r="AH54" s="92" t="s">
        <v>293</v>
      </c>
      <c r="AI54" s="90">
        <f ca="1">Gant_24!$E$239</f>
        <v>0</v>
      </c>
      <c r="AL54" t="str">
        <f>Table5[[#This Row],[LT-Lieferant]]</f>
        <v>Schneider Transport- und Lagerbehälter GmbH &amp; Co. KG</v>
      </c>
      <c r="AM54" t="str">
        <f>Delivery_plan_24!$E54</f>
        <v>T524636</v>
      </c>
      <c r="AN54" s="8">
        <f>Delivery_plan_24!$U54</f>
        <v>9670595764</v>
      </c>
      <c r="AO54" s="8">
        <f>Delivery_plan_24!$V54</f>
        <v>3067365039</v>
      </c>
      <c r="AP54" s="7">
        <f>Delivery_plan_24!$AF54</f>
        <v>8</v>
      </c>
      <c r="AQ54" t="str">
        <f>IF(Table1[[#This Row],[Offen]]=" ", " 0 ",Delivery_plan_24!$AH54)</f>
        <v>jethavaromil@gmail.com</v>
      </c>
      <c r="AS54" t="str">
        <f>Table5[[#This Row],[T5_]]</f>
        <v>24636</v>
      </c>
      <c r="AT54" t="s">
        <v>285</v>
      </c>
      <c r="AU54">
        <f>IF(AT54="Umbau", 0.3, IF(AT54= "Reklamation", 0.5, IF(AT54="Muster r", 0.2,0)))</f>
        <v>0.3</v>
      </c>
      <c r="AV54">
        <v>32</v>
      </c>
      <c r="AW54">
        <f>Table5[[#This Row],[L]]*Table5[[#This Row],[B]]*Table5[[#This Row],[H]]*Table5[[#This Row],[Füllmenge]]/1000000000</f>
        <v>69.888000000000005</v>
      </c>
      <c r="AX54">
        <f>Tabelle3[[#This Row],[Factor]]*Tabelle3[[#This Row],[How many days]]*Tabelle3[[#This Row],[Volumn*Menge]]/100</f>
        <v>6.7092479999999997</v>
      </c>
    </row>
    <row r="55" spans="2:50" x14ac:dyDescent="0.3">
      <c r="B55" s="60">
        <v>47</v>
      </c>
      <c r="C55" s="14" t="s">
        <v>20</v>
      </c>
      <c r="D55" s="14" t="s">
        <v>21</v>
      </c>
      <c r="E55" s="14" t="s">
        <v>197</v>
      </c>
      <c r="F55" s="14" t="str">
        <f>RIGHT(Delivery_plan_24!$E55,5)</f>
        <v>24637</v>
      </c>
      <c r="G55" s="14" t="s">
        <v>198</v>
      </c>
      <c r="H55" s="14" t="s">
        <v>199</v>
      </c>
      <c r="I55" s="14">
        <v>34481</v>
      </c>
      <c r="J55" s="14" t="s">
        <v>155</v>
      </c>
      <c r="K55" s="14" t="s">
        <v>77</v>
      </c>
      <c r="L55" s="14">
        <v>0</v>
      </c>
      <c r="M55" s="14" t="s">
        <v>28</v>
      </c>
      <c r="N55" s="14" t="s">
        <v>29</v>
      </c>
      <c r="O55" s="14" t="s">
        <v>28</v>
      </c>
      <c r="P55" s="86">
        <v>2400</v>
      </c>
      <c r="Q55" s="14">
        <v>1600</v>
      </c>
      <c r="R55" s="14">
        <v>1200</v>
      </c>
      <c r="S55" s="15">
        <v>20</v>
      </c>
      <c r="T55" s="14" t="s">
        <v>46</v>
      </c>
      <c r="U55" s="16">
        <v>9670595764</v>
      </c>
      <c r="V55" s="16">
        <v>3067365039</v>
      </c>
      <c r="W55" s="14">
        <v>14</v>
      </c>
      <c r="X55" s="14">
        <v>16</v>
      </c>
      <c r="Y55" s="14" t="s">
        <v>47</v>
      </c>
      <c r="Z55" s="14" t="s">
        <v>193</v>
      </c>
      <c r="AA55" s="14" t="str">
        <f>IF(Delivery_plan_24!$AG55= " ", " ",IF(AND(Delivery_plan_24!$AG55&gt;0,AG55= ""), " Ja", "Nein"))</f>
        <v>Nein</v>
      </c>
      <c r="AB55" s="14" t="str">
        <f>IF(Delivery_plan_24!$AC55= 0, " ",IF(Delivery_plan_24!$AG55= 100%, "Ja", "Nein"))</f>
        <v>Ja</v>
      </c>
      <c r="AC55" s="94">
        <v>16</v>
      </c>
      <c r="AD55" s="14">
        <f>Gant_24!$E242</f>
        <v>0</v>
      </c>
      <c r="AE55" s="14">
        <f>SUM(Gant_24!H243:BG243)</f>
        <v>16</v>
      </c>
      <c r="AF55" s="93">
        <f t="shared" si="1"/>
        <v>0</v>
      </c>
      <c r="AG55" s="17">
        <f>IF(ISERROR(Delivery_plan_24!$AE55/Delivery_plan_24!$AC55), " ", Delivery_plan_24!$AE55/Delivery_plan_24!$AC55)</f>
        <v>1</v>
      </c>
      <c r="AH55" s="92" t="s">
        <v>293</v>
      </c>
      <c r="AI55" s="90">
        <f ca="1">Gant_24!$E$244</f>
        <v>0</v>
      </c>
      <c r="AL55" t="str">
        <f>Table5[[#This Row],[LT-Lieferant]]</f>
        <v>Schneider Transport- und Lagerbehälter GmbH &amp; Co. KG</v>
      </c>
      <c r="AM55" t="str">
        <f>Delivery_plan_24!$E55</f>
        <v>T524637</v>
      </c>
      <c r="AN55" s="8">
        <f>Delivery_plan_24!$U55</f>
        <v>9670595764</v>
      </c>
      <c r="AO55" s="8">
        <f>Delivery_plan_24!$V55</f>
        <v>3067365039</v>
      </c>
      <c r="AP55" s="7">
        <f>Delivery_plan_24!$AF55</f>
        <v>0</v>
      </c>
      <c r="AQ55" t="str">
        <f>IF(Table1[[#This Row],[Offen]]=" ", " 0 ",Delivery_plan_24!$AH55)</f>
        <v>jethavaromil@gmail.com</v>
      </c>
      <c r="AS55" t="str">
        <f>Table5[[#This Row],[T5_]]</f>
        <v>24637</v>
      </c>
      <c r="AT55" t="s">
        <v>285</v>
      </c>
      <c r="AU55">
        <f t="shared" ref="AU55:AU67" si="2">IF(AT55="Umbau", 0.3, IF(AT55= "Reklamation", 0.5, IF(AT55="Muster",0.2,0)))</f>
        <v>0.3</v>
      </c>
      <c r="AV55">
        <v>2</v>
      </c>
      <c r="AW55">
        <f>Table5[[#This Row],[L]]*Table5[[#This Row],[B]]*Table5[[#This Row],[H]]*Table5[[#This Row],[Füllmenge]]/1000000000</f>
        <v>92.16</v>
      </c>
      <c r="AX55">
        <f>Tabelle3[[#This Row],[Factor]]*Tabelle3[[#This Row],[How many days]]*Tabelle3[[#This Row],[Volumn*Menge]]/100</f>
        <v>0.55296000000000001</v>
      </c>
    </row>
    <row r="56" spans="2:50" x14ac:dyDescent="0.3">
      <c r="B56" s="60">
        <v>48</v>
      </c>
      <c r="C56" s="14" t="s">
        <v>20</v>
      </c>
      <c r="D56" s="14" t="s">
        <v>21</v>
      </c>
      <c r="E56" s="14" t="s">
        <v>200</v>
      </c>
      <c r="F56" s="14" t="str">
        <f>RIGHT(Delivery_plan_24!$E56,5)</f>
        <v>24638</v>
      </c>
      <c r="G56" s="14" t="s">
        <v>201</v>
      </c>
      <c r="H56" s="14" t="s">
        <v>202</v>
      </c>
      <c r="I56" s="14">
        <v>34480</v>
      </c>
      <c r="J56" s="14" t="s">
        <v>155</v>
      </c>
      <c r="K56" s="14" t="s">
        <v>77</v>
      </c>
      <c r="L56" s="14">
        <v>0</v>
      </c>
      <c r="M56" s="14" t="s">
        <v>28</v>
      </c>
      <c r="N56" s="14" t="s">
        <v>29</v>
      </c>
      <c r="O56" s="14" t="s">
        <v>28</v>
      </c>
      <c r="P56" s="86">
        <v>2400</v>
      </c>
      <c r="Q56" s="14">
        <v>1600</v>
      </c>
      <c r="R56" s="14">
        <v>1200</v>
      </c>
      <c r="S56" s="15">
        <v>20</v>
      </c>
      <c r="T56" s="14" t="s">
        <v>46</v>
      </c>
      <c r="U56" s="16">
        <v>9670595764</v>
      </c>
      <c r="V56" s="16">
        <v>3067365039</v>
      </c>
      <c r="W56" s="14">
        <v>14</v>
      </c>
      <c r="X56" s="14">
        <v>16</v>
      </c>
      <c r="Y56" s="14" t="s">
        <v>47</v>
      </c>
      <c r="Z56" s="14" t="s">
        <v>193</v>
      </c>
      <c r="AA56" s="14" t="str">
        <f>IF(Delivery_plan_24!$AG56= " ", " ",IF(AND(Delivery_plan_24!$AG56&gt;0,AG56= ""), " Ja", "Nein"))</f>
        <v>Nein</v>
      </c>
      <c r="AB56" s="14" t="str">
        <f>IF(Delivery_plan_24!$AC56= 0, " ",IF(Delivery_plan_24!$AG56= 100%, "Ja", "Nein"))</f>
        <v>Nein</v>
      </c>
      <c r="AC56" s="94">
        <v>16</v>
      </c>
      <c r="AD56" s="10">
        <f>Gant_24!$E247</f>
        <v>0</v>
      </c>
      <c r="AE56" s="14">
        <f>SUM(Gant_24!H248:BG248)</f>
        <v>0</v>
      </c>
      <c r="AF56" s="93">
        <f t="shared" si="1"/>
        <v>16</v>
      </c>
      <c r="AG56" s="17">
        <f>IF(ISERROR(Delivery_plan_24!$AE56/Delivery_plan_24!$AC56), " ", Delivery_plan_24!$AE56/Delivery_plan_24!$AC56)</f>
        <v>0</v>
      </c>
      <c r="AH56" s="92" t="s">
        <v>293</v>
      </c>
      <c r="AI56" s="90">
        <f ca="1">Gant_24!$E$249</f>
        <v>0</v>
      </c>
      <c r="AL56" t="str">
        <f>Table5[[#This Row],[LT-Lieferant]]</f>
        <v>Schneider Transport- und Lagerbehälter GmbH &amp; Co. KG</v>
      </c>
      <c r="AM56" t="str">
        <f>Delivery_plan_24!$E56</f>
        <v>T524638</v>
      </c>
      <c r="AN56" s="8">
        <f>Delivery_plan_24!$U56</f>
        <v>9670595764</v>
      </c>
      <c r="AO56" s="8">
        <f>Delivery_plan_24!$V56</f>
        <v>3067365039</v>
      </c>
      <c r="AP56" s="7">
        <f>Delivery_plan_24!$AF56</f>
        <v>16</v>
      </c>
      <c r="AQ56" t="str">
        <f>IF(Table1[[#This Row],[Offen]]=" ", " 0 ",Delivery_plan_24!$AH56)</f>
        <v>jethavaromil@gmail.com</v>
      </c>
      <c r="AS56" t="str">
        <f>Table5[[#This Row],[T5_]]</f>
        <v>24638</v>
      </c>
      <c r="AT56" t="s">
        <v>289</v>
      </c>
      <c r="AU56">
        <f t="shared" si="2"/>
        <v>0.2</v>
      </c>
      <c r="AV56">
        <v>22</v>
      </c>
      <c r="AW56">
        <f>Table5[[#This Row],[L]]*Table5[[#This Row],[B]]*Table5[[#This Row],[H]]*Table5[[#This Row],[Füllmenge]]/1000000000</f>
        <v>92.16</v>
      </c>
      <c r="AX56">
        <f>Tabelle3[[#This Row],[Factor]]*Tabelle3[[#This Row],[How many days]]*Tabelle3[[#This Row],[Volumn*Menge]]/100</f>
        <v>4.05504</v>
      </c>
    </row>
    <row r="57" spans="2:50" x14ac:dyDescent="0.3">
      <c r="B57" s="60">
        <v>49</v>
      </c>
      <c r="C57" s="14" t="s">
        <v>20</v>
      </c>
      <c r="D57" s="14" t="s">
        <v>21</v>
      </c>
      <c r="E57" s="14" t="s">
        <v>203</v>
      </c>
      <c r="F57" s="14" t="str">
        <f>RIGHT(Delivery_plan_24!$E57,5)</f>
        <v>24641</v>
      </c>
      <c r="G57" s="14" t="s">
        <v>204</v>
      </c>
      <c r="H57" s="14" t="s">
        <v>205</v>
      </c>
      <c r="I57" s="14">
        <v>34484</v>
      </c>
      <c r="J57" s="14" t="s">
        <v>155</v>
      </c>
      <c r="K57" s="14" t="s">
        <v>77</v>
      </c>
      <c r="L57" s="14" t="s">
        <v>206</v>
      </c>
      <c r="M57" s="14">
        <v>0</v>
      </c>
      <c r="N57" s="14" t="s">
        <v>29</v>
      </c>
      <c r="O57" s="14" t="s">
        <v>79</v>
      </c>
      <c r="P57" s="86">
        <v>1200</v>
      </c>
      <c r="Q57" s="14">
        <v>1600</v>
      </c>
      <c r="R57" s="14">
        <v>1500</v>
      </c>
      <c r="S57" s="15">
        <v>300</v>
      </c>
      <c r="T57" s="14" t="s">
        <v>207</v>
      </c>
      <c r="U57" s="16">
        <v>9670595763</v>
      </c>
      <c r="V57" s="16">
        <v>3067365042</v>
      </c>
      <c r="W57" s="14">
        <v>11</v>
      </c>
      <c r="X57" s="14">
        <v>16</v>
      </c>
      <c r="Y57" s="14" t="s">
        <v>47</v>
      </c>
      <c r="Z57" s="14" t="s">
        <v>156</v>
      </c>
      <c r="AA57" s="14" t="str">
        <f>IF(Delivery_plan_24!$AG57= " ", " ",IF(AND(Delivery_plan_24!$AG57&gt;0,AG57= ""), " Ja", "Nein"))</f>
        <v>Nein</v>
      </c>
      <c r="AB57" s="14" t="str">
        <f>IF(Delivery_plan_24!$AC57= 0, " ",IF(Delivery_plan_24!$AG57= 100%, "Ja", "Nein"))</f>
        <v>Nein</v>
      </c>
      <c r="AC57" s="94">
        <v>16</v>
      </c>
      <c r="AD57" s="14">
        <f>Gant_24!$E252</f>
        <v>0</v>
      </c>
      <c r="AE57" s="14">
        <f>SUM(Gant_24!H253:BG253)</f>
        <v>0</v>
      </c>
      <c r="AF57" s="93">
        <f t="shared" si="1"/>
        <v>16</v>
      </c>
      <c r="AG57" s="17">
        <f>IF(ISERROR(Delivery_plan_24!$AE57/Delivery_plan_24!$AC57), " ", Delivery_plan_24!$AE57/Delivery_plan_24!$AC57)</f>
        <v>0</v>
      </c>
      <c r="AH57" s="92" t="s">
        <v>293</v>
      </c>
      <c r="AI57" s="90">
        <f ca="1">Gant_24!$E$254</f>
        <v>0</v>
      </c>
      <c r="AL57" t="str">
        <f>Table5[[#This Row],[LT-Lieferant]]</f>
        <v>Schneider Transport- und Lagerbehälter GmbH &amp; Co. KG</v>
      </c>
      <c r="AM57" t="str">
        <f>Delivery_plan_24!$E57</f>
        <v>T524641</v>
      </c>
      <c r="AN57" s="8">
        <f>Delivery_plan_24!$U57</f>
        <v>9670595763</v>
      </c>
      <c r="AO57" s="8">
        <f>Delivery_plan_24!$V57</f>
        <v>3067365042</v>
      </c>
      <c r="AP57" s="7">
        <f>Delivery_plan_24!$AF57</f>
        <v>16</v>
      </c>
      <c r="AQ57" t="str">
        <f>IF(Table1[[#This Row],[Offen]]=" ", " 0 ",Delivery_plan_24!$AH57)</f>
        <v>jethavaromil@gmail.com</v>
      </c>
      <c r="AS57" t="str">
        <f>Table5[[#This Row],[T5_]]</f>
        <v>24641</v>
      </c>
      <c r="AT57" t="s">
        <v>289</v>
      </c>
      <c r="AU57">
        <f t="shared" si="2"/>
        <v>0.2</v>
      </c>
      <c r="AV57">
        <v>13</v>
      </c>
      <c r="AW57">
        <f>Table5[[#This Row],[L]]*Table5[[#This Row],[B]]*Table5[[#This Row],[H]]*Table5[[#This Row],[Füllmenge]]/1000000000</f>
        <v>864</v>
      </c>
      <c r="AX57">
        <f>Tabelle3[[#This Row],[Factor]]*Tabelle3[[#This Row],[How many days]]*Tabelle3[[#This Row],[Volumn*Menge]]/100</f>
        <v>22.464000000000002</v>
      </c>
    </row>
    <row r="58" spans="2:50" x14ac:dyDescent="0.3">
      <c r="B58" s="60">
        <v>50</v>
      </c>
      <c r="C58" s="14" t="s">
        <v>20</v>
      </c>
      <c r="D58" s="14" t="s">
        <v>21</v>
      </c>
      <c r="E58" s="14" t="s">
        <v>208</v>
      </c>
      <c r="F58" s="14" t="str">
        <f>RIGHT(Delivery_plan_24!$E58,5)</f>
        <v>24642</v>
      </c>
      <c r="G58" s="14" t="s">
        <v>209</v>
      </c>
      <c r="H58" s="14" t="s">
        <v>210</v>
      </c>
      <c r="I58" s="14">
        <v>34485</v>
      </c>
      <c r="J58" s="14" t="s">
        <v>155</v>
      </c>
      <c r="K58" s="14" t="s">
        <v>77</v>
      </c>
      <c r="L58" s="14" t="s">
        <v>206</v>
      </c>
      <c r="M58" s="14">
        <v>0</v>
      </c>
      <c r="N58" s="14" t="s">
        <v>29</v>
      </c>
      <c r="O58" s="14" t="s">
        <v>79</v>
      </c>
      <c r="P58" s="86">
        <v>1200</v>
      </c>
      <c r="Q58" s="14">
        <v>1600</v>
      </c>
      <c r="R58" s="14">
        <v>1500</v>
      </c>
      <c r="S58" s="15">
        <v>300</v>
      </c>
      <c r="T58" s="14" t="s">
        <v>207</v>
      </c>
      <c r="U58" s="16">
        <v>9670595763</v>
      </c>
      <c r="V58" s="16">
        <v>3067365042</v>
      </c>
      <c r="W58" s="14">
        <v>11</v>
      </c>
      <c r="X58" s="14">
        <v>16</v>
      </c>
      <c r="Y58" s="14" t="s">
        <v>47</v>
      </c>
      <c r="Z58" s="14" t="s">
        <v>156</v>
      </c>
      <c r="AA58" s="14" t="str">
        <f>IF(Delivery_plan_24!$AG58= " ", " ",IF(AND(Delivery_plan_24!$AG58&gt;0,AG58= ""), " Ja", "Nein"))</f>
        <v>Nein</v>
      </c>
      <c r="AB58" s="14" t="str">
        <f>IF(Delivery_plan_24!$AC58= 0, " ",IF(Delivery_plan_24!$AG58= 100%, "Ja", "Nein"))</f>
        <v>Ja</v>
      </c>
      <c r="AC58" s="94">
        <v>16</v>
      </c>
      <c r="AD58" s="10">
        <f>Gant_24!$E257</f>
        <v>0</v>
      </c>
      <c r="AE58" s="14">
        <f>SUM(Gant_24!H258:BG258)</f>
        <v>16</v>
      </c>
      <c r="AF58" s="93">
        <f t="shared" si="1"/>
        <v>0</v>
      </c>
      <c r="AG58" s="17">
        <f>IF(ISERROR(Delivery_plan_24!$AE58/Delivery_plan_24!$AC58), " ", Delivery_plan_24!$AE58/Delivery_plan_24!$AC58)</f>
        <v>1</v>
      </c>
      <c r="AH58" s="92" t="s">
        <v>293</v>
      </c>
      <c r="AI58" s="90">
        <f ca="1">Gant_24!$E$259</f>
        <v>0</v>
      </c>
      <c r="AL58" t="str">
        <f>Table5[[#This Row],[LT-Lieferant]]</f>
        <v>Schneider Transport- und Lagerbehälter GmbH &amp; Co. KG</v>
      </c>
      <c r="AM58" t="str">
        <f>Delivery_plan_24!$E58</f>
        <v>T524642</v>
      </c>
      <c r="AN58" s="8">
        <f>Delivery_plan_24!$U58</f>
        <v>9670595763</v>
      </c>
      <c r="AO58" s="8">
        <f>Delivery_plan_24!$V58</f>
        <v>3067365042</v>
      </c>
      <c r="AP58" s="7">
        <f>Delivery_plan_24!$AF58</f>
        <v>0</v>
      </c>
      <c r="AQ58" t="str">
        <f>IF(Table1[[#This Row],[Offen]]=" ", " 0 ",Delivery_plan_24!$AH58)</f>
        <v>jethavaromil@gmail.com</v>
      </c>
      <c r="AS58" t="str">
        <f>Table5[[#This Row],[T5_]]</f>
        <v>24642</v>
      </c>
      <c r="AT58" t="s">
        <v>285</v>
      </c>
      <c r="AU58">
        <f t="shared" si="2"/>
        <v>0.3</v>
      </c>
      <c r="AV58">
        <v>18</v>
      </c>
      <c r="AW58">
        <f>Table5[[#This Row],[L]]*Table5[[#This Row],[B]]*Table5[[#This Row],[H]]*Table5[[#This Row],[Füllmenge]]/1000000000</f>
        <v>864</v>
      </c>
      <c r="AX58">
        <f>Tabelle3[[#This Row],[Factor]]*Tabelle3[[#This Row],[How many days]]*Tabelle3[[#This Row],[Volumn*Menge]]/100</f>
        <v>46.655999999999992</v>
      </c>
    </row>
    <row r="59" spans="2:50" x14ac:dyDescent="0.3">
      <c r="B59" s="60">
        <v>51</v>
      </c>
      <c r="C59" s="14" t="s">
        <v>20</v>
      </c>
      <c r="D59" s="14" t="s">
        <v>21</v>
      </c>
      <c r="E59" s="14" t="s">
        <v>211</v>
      </c>
      <c r="F59" s="14" t="str">
        <f>RIGHT(Delivery_plan_24!$E59,5)</f>
        <v>24643</v>
      </c>
      <c r="G59" s="14" t="s">
        <v>212</v>
      </c>
      <c r="H59" s="14" t="s">
        <v>213</v>
      </c>
      <c r="I59" s="14">
        <v>34478</v>
      </c>
      <c r="J59" s="14" t="s">
        <v>155</v>
      </c>
      <c r="K59" s="14" t="s">
        <v>77</v>
      </c>
      <c r="L59" s="14" t="s">
        <v>206</v>
      </c>
      <c r="M59" s="14">
        <v>0</v>
      </c>
      <c r="N59" s="14" t="s">
        <v>29</v>
      </c>
      <c r="O59" s="14" t="s">
        <v>79</v>
      </c>
      <c r="P59" s="86">
        <v>1200</v>
      </c>
      <c r="Q59" s="14">
        <v>1600</v>
      </c>
      <c r="R59" s="14">
        <v>1500</v>
      </c>
      <c r="S59" s="15">
        <v>300</v>
      </c>
      <c r="T59" s="14" t="s">
        <v>207</v>
      </c>
      <c r="U59" s="16">
        <v>9670595763</v>
      </c>
      <c r="V59" s="16">
        <v>3067365042</v>
      </c>
      <c r="W59" s="14">
        <v>11</v>
      </c>
      <c r="X59" s="14">
        <v>16</v>
      </c>
      <c r="Y59" s="14" t="s">
        <v>47</v>
      </c>
      <c r="Z59" s="14" t="s">
        <v>156</v>
      </c>
      <c r="AA59" s="14" t="str">
        <f>IF(Delivery_plan_24!$AG59= " ", " ",IF(AND(Delivery_plan_24!$AG59&gt;0,AG59= ""), " Ja", "Nein"))</f>
        <v>Nein</v>
      </c>
      <c r="AB59" s="14" t="str">
        <f>IF(Delivery_plan_24!$AC59= 0, " ",IF(Delivery_plan_24!$AG59= 100%, "Ja", "Nein"))</f>
        <v>Ja</v>
      </c>
      <c r="AC59" s="94">
        <v>16</v>
      </c>
      <c r="AD59" s="14">
        <f>Gant_24!$E262</f>
        <v>0</v>
      </c>
      <c r="AE59" s="14">
        <f>SUM(Gant_24!H263:BG263)</f>
        <v>16</v>
      </c>
      <c r="AF59" s="93">
        <f t="shared" si="1"/>
        <v>0</v>
      </c>
      <c r="AG59" s="17">
        <f>IF(ISERROR(Delivery_plan_24!$AE59/Delivery_plan_24!$AC59), " ", Delivery_plan_24!$AE59/Delivery_plan_24!$AC59)</f>
        <v>1</v>
      </c>
      <c r="AH59" s="92" t="s">
        <v>293</v>
      </c>
      <c r="AI59" s="90">
        <f ca="1">Gant_24!$E$264</f>
        <v>0</v>
      </c>
      <c r="AL59" t="str">
        <f>Table5[[#This Row],[LT-Lieferant]]</f>
        <v>Schneider Transport- und Lagerbehälter GmbH &amp; Co. KG</v>
      </c>
      <c r="AM59" t="str">
        <f>Delivery_plan_24!$E59</f>
        <v>T524643</v>
      </c>
      <c r="AN59" s="8">
        <f>Delivery_plan_24!$U59</f>
        <v>9670595763</v>
      </c>
      <c r="AO59" s="8">
        <f>Delivery_plan_24!$V59</f>
        <v>3067365042</v>
      </c>
      <c r="AP59" s="7">
        <f>Delivery_plan_24!$AF59</f>
        <v>0</v>
      </c>
      <c r="AQ59" t="str">
        <f>IF(Table1[[#This Row],[Offen]]=" ", " 0 ",Delivery_plan_24!$AH59)</f>
        <v>jethavaromil@gmail.com</v>
      </c>
      <c r="AS59" t="str">
        <f>Table5[[#This Row],[T5_]]</f>
        <v>24643</v>
      </c>
      <c r="AT59" t="s">
        <v>289</v>
      </c>
      <c r="AU59">
        <f t="shared" si="2"/>
        <v>0.2</v>
      </c>
      <c r="AV59">
        <v>36</v>
      </c>
      <c r="AW59">
        <f>Table5[[#This Row],[L]]*Table5[[#This Row],[B]]*Table5[[#This Row],[H]]*Table5[[#This Row],[Füllmenge]]/1000000000</f>
        <v>864</v>
      </c>
      <c r="AX59">
        <f>Tabelle3[[#This Row],[Factor]]*Tabelle3[[#This Row],[How many days]]*Tabelle3[[#This Row],[Volumn*Menge]]/100</f>
        <v>62.207999999999998</v>
      </c>
    </row>
    <row r="60" spans="2:50" x14ac:dyDescent="0.3">
      <c r="B60" s="60">
        <v>52</v>
      </c>
      <c r="C60" s="14" t="s">
        <v>20</v>
      </c>
      <c r="D60" s="14" t="s">
        <v>21</v>
      </c>
      <c r="E60" s="14" t="s">
        <v>214</v>
      </c>
      <c r="F60" s="14" t="str">
        <f>RIGHT(Delivery_plan_24!$E60,5)</f>
        <v>24644</v>
      </c>
      <c r="G60" s="14" t="s">
        <v>215</v>
      </c>
      <c r="H60" s="14" t="s">
        <v>216</v>
      </c>
      <c r="I60" s="14">
        <v>34479</v>
      </c>
      <c r="J60" s="14" t="s">
        <v>155</v>
      </c>
      <c r="K60" s="14" t="s">
        <v>77</v>
      </c>
      <c r="L60" s="14" t="s">
        <v>206</v>
      </c>
      <c r="M60" s="14">
        <v>0</v>
      </c>
      <c r="N60" s="14" t="s">
        <v>29</v>
      </c>
      <c r="O60" s="14" t="s">
        <v>79</v>
      </c>
      <c r="P60" s="86">
        <v>1200</v>
      </c>
      <c r="Q60" s="14">
        <v>1600</v>
      </c>
      <c r="R60" s="14">
        <v>1500</v>
      </c>
      <c r="S60" s="15">
        <v>300</v>
      </c>
      <c r="T60" s="14" t="s">
        <v>207</v>
      </c>
      <c r="U60" s="16">
        <v>9670595763</v>
      </c>
      <c r="V60" s="16">
        <v>3067365042</v>
      </c>
      <c r="W60" s="14">
        <v>11</v>
      </c>
      <c r="X60" s="14">
        <v>16</v>
      </c>
      <c r="Y60" s="14" t="s">
        <v>47</v>
      </c>
      <c r="Z60" s="14" t="s">
        <v>156</v>
      </c>
      <c r="AA60" s="14" t="str">
        <f>IF(Delivery_plan_24!$AG60= " ", " ",IF(AND(Delivery_plan_24!$AG60&gt;0,AG60= ""), " Ja", "Nein"))</f>
        <v>Nein</v>
      </c>
      <c r="AB60" s="14" t="str">
        <f>IF(Delivery_plan_24!$AC60= 0, " ",IF(Delivery_plan_24!$AG60= 100%, "Ja", "Nein"))</f>
        <v>Ja</v>
      </c>
      <c r="AC60" s="94">
        <v>16</v>
      </c>
      <c r="AD60" s="10">
        <f>Gant_24!$E267</f>
        <v>0</v>
      </c>
      <c r="AE60" s="14">
        <f>SUM(Gant_24!H268:BG268)</f>
        <v>16</v>
      </c>
      <c r="AF60" s="93">
        <f t="shared" si="1"/>
        <v>0</v>
      </c>
      <c r="AG60" s="17">
        <f>IF(ISERROR(Delivery_plan_24!$AE60/Delivery_plan_24!$AC60), " ", Delivery_plan_24!$AE60/Delivery_plan_24!$AC60)</f>
        <v>1</v>
      </c>
      <c r="AH60" s="92" t="s">
        <v>293</v>
      </c>
      <c r="AI60" s="90">
        <f ca="1">Gant_24!$E$269</f>
        <v>0</v>
      </c>
      <c r="AL60" t="str">
        <f>Table5[[#This Row],[LT-Lieferant]]</f>
        <v>Schneider Transport- und Lagerbehälter GmbH &amp; Co. KG</v>
      </c>
      <c r="AM60" t="str">
        <f>Delivery_plan_24!$E60</f>
        <v>T524644</v>
      </c>
      <c r="AN60" s="8">
        <f>Delivery_plan_24!$U60</f>
        <v>9670595763</v>
      </c>
      <c r="AO60" s="8">
        <f>Delivery_plan_24!$V60</f>
        <v>3067365042</v>
      </c>
      <c r="AP60" s="7">
        <f>Delivery_plan_24!$AF60</f>
        <v>0</v>
      </c>
      <c r="AQ60" t="str">
        <f>IF(Table1[[#This Row],[Offen]]=" ", " 0 ",Delivery_plan_24!$AH60)</f>
        <v>jethavaromil@gmail.com</v>
      </c>
      <c r="AS60" t="str">
        <f>Table5[[#This Row],[T5_]]</f>
        <v>24644</v>
      </c>
      <c r="AT60" t="s">
        <v>285</v>
      </c>
      <c r="AU60">
        <f t="shared" si="2"/>
        <v>0.3</v>
      </c>
      <c r="AV60">
        <v>7</v>
      </c>
      <c r="AW60">
        <f>Table5[[#This Row],[L]]*Table5[[#This Row],[B]]*Table5[[#This Row],[H]]*Table5[[#This Row],[Füllmenge]]/1000000000</f>
        <v>864</v>
      </c>
      <c r="AX60">
        <f>Tabelle3[[#This Row],[Factor]]*Tabelle3[[#This Row],[How many days]]*Tabelle3[[#This Row],[Volumn*Menge]]/100</f>
        <v>18.144000000000002</v>
      </c>
    </row>
    <row r="61" spans="2:50" x14ac:dyDescent="0.3">
      <c r="B61" s="60">
        <v>53</v>
      </c>
      <c r="C61" s="14" t="s">
        <v>20</v>
      </c>
      <c r="D61" s="14" t="s">
        <v>21</v>
      </c>
      <c r="E61" s="14" t="s">
        <v>217</v>
      </c>
      <c r="F61" s="14" t="str">
        <f>RIGHT(Delivery_plan_24!$E61,5)</f>
        <v>24655</v>
      </c>
      <c r="G61" s="14" t="s">
        <v>218</v>
      </c>
      <c r="H61" s="14" t="s">
        <v>219</v>
      </c>
      <c r="I61" s="14">
        <v>34465</v>
      </c>
      <c r="J61" s="14" t="s">
        <v>155</v>
      </c>
      <c r="K61" s="14" t="s">
        <v>77</v>
      </c>
      <c r="L61" s="14">
        <v>0</v>
      </c>
      <c r="M61" s="14" t="s">
        <v>28</v>
      </c>
      <c r="N61" s="14" t="s">
        <v>29</v>
      </c>
      <c r="O61" s="14" t="s">
        <v>28</v>
      </c>
      <c r="P61" s="86">
        <v>2400</v>
      </c>
      <c r="Q61" s="14">
        <v>1600</v>
      </c>
      <c r="R61" s="14">
        <v>1500</v>
      </c>
      <c r="S61" s="15">
        <v>22</v>
      </c>
      <c r="T61" s="14" t="s">
        <v>56</v>
      </c>
      <c r="U61" s="16">
        <v>9670595757</v>
      </c>
      <c r="V61" s="16">
        <v>3067365043</v>
      </c>
      <c r="W61" s="14">
        <v>10</v>
      </c>
      <c r="X61" s="14">
        <v>16</v>
      </c>
      <c r="Y61" s="14" t="s">
        <v>57</v>
      </c>
      <c r="Z61" s="14" t="s">
        <v>193</v>
      </c>
      <c r="AA61" s="14" t="str">
        <f>IF(Delivery_plan_24!$AG61= " ", " ",IF(AND(Delivery_plan_24!$AG61&gt;0,AG61= ""), " Ja", "Nein"))</f>
        <v>Nein</v>
      </c>
      <c r="AB61" s="14" t="str">
        <f>IF(Delivery_plan_24!$AC61= 0, " ",IF(Delivery_plan_24!$AG61= 100%, "Ja", "Nein"))</f>
        <v>Nein</v>
      </c>
      <c r="AC61" s="94">
        <v>16</v>
      </c>
      <c r="AD61" s="14">
        <f>Gant_24!$E272</f>
        <v>0</v>
      </c>
      <c r="AE61" s="14">
        <f>SUM(Gant_24!H273:BG273)</f>
        <v>0</v>
      </c>
      <c r="AF61" s="93">
        <f t="shared" si="1"/>
        <v>16</v>
      </c>
      <c r="AG61" s="17">
        <f>IF(ISERROR(Delivery_plan_24!$AE61/Delivery_plan_24!$AC61), " ", Delivery_plan_24!$AE61/Delivery_plan_24!$AC61)</f>
        <v>0</v>
      </c>
      <c r="AH61" s="92" t="s">
        <v>296</v>
      </c>
      <c r="AI61" s="90">
        <f ca="1">Gant_24!$E$274</f>
        <v>0</v>
      </c>
      <c r="AL61" t="str">
        <f>Table5[[#This Row],[LT-Lieferant]]</f>
        <v>Josta Engineering und Vertriebs GmbH</v>
      </c>
      <c r="AM61" t="str">
        <f>Delivery_plan_24!$E61</f>
        <v>T524655</v>
      </c>
      <c r="AN61" s="8">
        <f>Delivery_plan_24!$U61</f>
        <v>9670595757</v>
      </c>
      <c r="AO61" s="8">
        <f>Delivery_plan_24!$V61</f>
        <v>3067365043</v>
      </c>
      <c r="AP61" s="7">
        <f>Delivery_plan_24!$AF61</f>
        <v>16</v>
      </c>
      <c r="AQ61" t="str">
        <f>IF(Table1[[#This Row],[Offen]]=" ", " 0 ",Delivery_plan_24!$AH61)</f>
        <v>jethavaromil160996@gmail.com</v>
      </c>
      <c r="AS61" t="str">
        <f>Table5[[#This Row],[T5_]]</f>
        <v>24655</v>
      </c>
      <c r="AT61" t="s">
        <v>289</v>
      </c>
      <c r="AU61">
        <f t="shared" si="2"/>
        <v>0.2</v>
      </c>
      <c r="AV61">
        <v>11</v>
      </c>
      <c r="AW61">
        <f>Table5[[#This Row],[L]]*Table5[[#This Row],[B]]*Table5[[#This Row],[H]]*Table5[[#This Row],[Füllmenge]]/1000000000</f>
        <v>126.72</v>
      </c>
      <c r="AX61">
        <f>Tabelle3[[#This Row],[Factor]]*Tabelle3[[#This Row],[How many days]]*Tabelle3[[#This Row],[Volumn*Menge]]/100</f>
        <v>2.7878400000000001</v>
      </c>
    </row>
    <row r="62" spans="2:50" x14ac:dyDescent="0.3">
      <c r="B62" s="60">
        <v>54</v>
      </c>
      <c r="C62" s="14" t="s">
        <v>20</v>
      </c>
      <c r="D62" s="14" t="s">
        <v>21</v>
      </c>
      <c r="E62" s="14" t="s">
        <v>220</v>
      </c>
      <c r="F62" s="14" t="str">
        <f>RIGHT(Delivery_plan_24!$E62,5)</f>
        <v>24656</v>
      </c>
      <c r="G62" s="14" t="s">
        <v>221</v>
      </c>
      <c r="H62" s="14" t="s">
        <v>222</v>
      </c>
      <c r="I62" s="14">
        <v>34464</v>
      </c>
      <c r="J62" s="14" t="s">
        <v>155</v>
      </c>
      <c r="K62" s="14" t="s">
        <v>77</v>
      </c>
      <c r="L62" s="14">
        <v>0</v>
      </c>
      <c r="M62" s="14" t="s">
        <v>28</v>
      </c>
      <c r="N62" s="14" t="s">
        <v>29</v>
      </c>
      <c r="O62" s="14" t="s">
        <v>28</v>
      </c>
      <c r="P62" s="86">
        <v>2400</v>
      </c>
      <c r="Q62" s="14">
        <v>1600</v>
      </c>
      <c r="R62" s="14">
        <v>750</v>
      </c>
      <c r="S62" s="15">
        <v>70</v>
      </c>
      <c r="T62" s="14" t="s">
        <v>56</v>
      </c>
      <c r="U62" s="16">
        <v>9670595757</v>
      </c>
      <c r="V62" s="16">
        <v>3067365043</v>
      </c>
      <c r="W62" s="14">
        <v>10</v>
      </c>
      <c r="X62" s="14">
        <v>16</v>
      </c>
      <c r="Y62" s="14" t="s">
        <v>57</v>
      </c>
      <c r="Z62" s="14" t="s">
        <v>193</v>
      </c>
      <c r="AA62" s="14" t="str">
        <f>IF(Delivery_plan_24!$AG62= " ", " ",IF(AND(Delivery_plan_24!$AG62&gt;0,AG62= ""), " Ja", "Nein"))</f>
        <v>Nein</v>
      </c>
      <c r="AB62" s="14" t="str">
        <f>IF(Delivery_plan_24!$AC62= 0, " ",IF(Delivery_plan_24!$AG62= 100%, "Ja", "Nein"))</f>
        <v>Ja</v>
      </c>
      <c r="AC62" s="94">
        <v>16</v>
      </c>
      <c r="AD62" s="10">
        <f>Gant_24!$E277</f>
        <v>0</v>
      </c>
      <c r="AE62" s="14">
        <f>SUM(Gant_24!H278:BG278)</f>
        <v>16</v>
      </c>
      <c r="AF62" s="93">
        <f t="shared" si="1"/>
        <v>0</v>
      </c>
      <c r="AG62" s="17">
        <f>IF(ISERROR(Delivery_plan_24!$AE62/Delivery_plan_24!$AC62), " ", Delivery_plan_24!$AE62/Delivery_plan_24!$AC62)</f>
        <v>1</v>
      </c>
      <c r="AH62" s="92" t="s">
        <v>296</v>
      </c>
      <c r="AI62" s="90">
        <f ca="1">Gant_24!$E$279</f>
        <v>0</v>
      </c>
      <c r="AL62" t="str">
        <f>Table5[[#This Row],[LT-Lieferant]]</f>
        <v>Josta Engineering und Vertriebs GmbH</v>
      </c>
      <c r="AM62" t="str">
        <f>Delivery_plan_24!$E62</f>
        <v>T524656</v>
      </c>
      <c r="AN62" s="8">
        <f>Delivery_plan_24!$U62</f>
        <v>9670595757</v>
      </c>
      <c r="AO62" s="8">
        <f>Delivery_plan_24!$V62</f>
        <v>3067365043</v>
      </c>
      <c r="AP62" s="7">
        <f>Delivery_plan_24!$AF62</f>
        <v>0</v>
      </c>
      <c r="AQ62" t="str">
        <f>IF(Table1[[#This Row],[Offen]]=" ", " 0 ",Delivery_plan_24!$AH62)</f>
        <v>jethavaromil160996@gmail.com</v>
      </c>
      <c r="AS62" t="str">
        <f>Table5[[#This Row],[T5_]]</f>
        <v>24656</v>
      </c>
      <c r="AT62" t="s">
        <v>289</v>
      </c>
      <c r="AU62">
        <f t="shared" si="2"/>
        <v>0.2</v>
      </c>
      <c r="AV62">
        <v>3</v>
      </c>
      <c r="AW62">
        <f>Table5[[#This Row],[L]]*Table5[[#This Row],[B]]*Table5[[#This Row],[H]]*Table5[[#This Row],[Füllmenge]]/1000000000</f>
        <v>201.6</v>
      </c>
      <c r="AX62">
        <f>Tabelle3[[#This Row],[Factor]]*Tabelle3[[#This Row],[How many days]]*Tabelle3[[#This Row],[Volumn*Menge]]/100</f>
        <v>1.2096</v>
      </c>
    </row>
    <row r="63" spans="2:50" x14ac:dyDescent="0.3">
      <c r="B63" s="60">
        <v>55</v>
      </c>
      <c r="C63" s="14" t="s">
        <v>20</v>
      </c>
      <c r="D63" s="14" t="s">
        <v>21</v>
      </c>
      <c r="E63" s="14" t="s">
        <v>223</v>
      </c>
      <c r="F63" s="14" t="str">
        <f>RIGHT(Delivery_plan_24!$E63,5)</f>
        <v>24657</v>
      </c>
      <c r="G63" s="14" t="s">
        <v>224</v>
      </c>
      <c r="H63" s="14" t="s">
        <v>225</v>
      </c>
      <c r="I63" s="14">
        <v>34463</v>
      </c>
      <c r="J63" s="14" t="s">
        <v>155</v>
      </c>
      <c r="K63" s="14" t="s">
        <v>68</v>
      </c>
      <c r="L63" s="14">
        <v>0</v>
      </c>
      <c r="M63" s="14" t="s">
        <v>28</v>
      </c>
      <c r="N63" s="14" t="s">
        <v>29</v>
      </c>
      <c r="O63" s="14" t="s">
        <v>28</v>
      </c>
      <c r="P63" s="86">
        <v>2400</v>
      </c>
      <c r="Q63" s="14">
        <v>1600</v>
      </c>
      <c r="R63" s="14">
        <v>1500</v>
      </c>
      <c r="S63" s="15">
        <v>11</v>
      </c>
      <c r="T63" s="14" t="s">
        <v>37</v>
      </c>
      <c r="U63" s="16">
        <v>9670595757</v>
      </c>
      <c r="V63" s="16">
        <v>3067365043</v>
      </c>
      <c r="W63" s="14">
        <v>10</v>
      </c>
      <c r="X63" s="14">
        <v>24</v>
      </c>
      <c r="Y63" s="14" t="s">
        <v>57</v>
      </c>
      <c r="Z63" s="14" t="s">
        <v>193</v>
      </c>
      <c r="AA63" s="14" t="str">
        <f>IF(Delivery_plan_24!$AG63= " ", " ",IF(AND(Delivery_plan_24!$AG63&gt;0,AG63= ""), " Ja", "Nein"))</f>
        <v>Nein</v>
      </c>
      <c r="AB63" s="14" t="str">
        <f>IF(Delivery_plan_24!$AC63= 0, " ",IF(Delivery_plan_24!$AG63= 100%, "Ja", "Nein"))</f>
        <v>Nein</v>
      </c>
      <c r="AC63" s="94">
        <v>24</v>
      </c>
      <c r="AD63" s="14">
        <f>Gant_24!$E282</f>
        <v>24</v>
      </c>
      <c r="AE63" s="14">
        <f>SUM(Gant_24!H283:BG283)</f>
        <v>16</v>
      </c>
      <c r="AF63" s="93">
        <f t="shared" si="1"/>
        <v>8</v>
      </c>
      <c r="AG63" s="17">
        <f>IF(ISERROR(Delivery_plan_24!$AE63/Delivery_plan_24!$AC63), " ", Delivery_plan_24!$AE63/Delivery_plan_24!$AC63)</f>
        <v>0.66666666666666663</v>
      </c>
      <c r="AH63" s="92" t="s">
        <v>295</v>
      </c>
      <c r="AI63" s="90">
        <f ca="1">Gant_24!$E$284</f>
        <v>0</v>
      </c>
      <c r="AL63" t="str">
        <f>Table5[[#This Row],[LT-Lieferant]]</f>
        <v>Josta Engineering und Vertriebs GmbH</v>
      </c>
      <c r="AM63" t="str">
        <f>Delivery_plan_24!$E63</f>
        <v>T524657</v>
      </c>
      <c r="AN63" s="8">
        <f>Delivery_plan_24!$U63</f>
        <v>9670595757</v>
      </c>
      <c r="AO63" s="8">
        <f>Delivery_plan_24!$V63</f>
        <v>3067365043</v>
      </c>
      <c r="AP63" s="7">
        <f>Delivery_plan_24!$AF63</f>
        <v>8</v>
      </c>
      <c r="AQ63" t="str">
        <f>IF(Table1[[#This Row],[Offen]]=" ", " 0 ",Delivery_plan_24!$AH63)</f>
        <v>jethavaromil1609@gmail.com</v>
      </c>
      <c r="AS63" t="str">
        <f>Table5[[#This Row],[T5_]]</f>
        <v>24657</v>
      </c>
      <c r="AT63" t="s">
        <v>289</v>
      </c>
      <c r="AU63">
        <f t="shared" si="2"/>
        <v>0.2</v>
      </c>
      <c r="AV63">
        <v>2</v>
      </c>
      <c r="AW63">
        <f>Table5[[#This Row],[L]]*Table5[[#This Row],[B]]*Table5[[#This Row],[H]]*Table5[[#This Row],[Füllmenge]]/1000000000</f>
        <v>63.36</v>
      </c>
      <c r="AX63">
        <f>Tabelle3[[#This Row],[Factor]]*Tabelle3[[#This Row],[How many days]]*Tabelle3[[#This Row],[Volumn*Menge]]/100</f>
        <v>0.25344</v>
      </c>
    </row>
    <row r="64" spans="2:50" x14ac:dyDescent="0.3">
      <c r="B64" s="60">
        <v>56</v>
      </c>
      <c r="C64" s="14" t="s">
        <v>20</v>
      </c>
      <c r="D64" s="14" t="s">
        <v>21</v>
      </c>
      <c r="E64" s="14" t="s">
        <v>226</v>
      </c>
      <c r="F64" s="14" t="str">
        <f>RIGHT(Delivery_plan_24!$E64,5)</f>
        <v>24659</v>
      </c>
      <c r="G64" s="14" t="s">
        <v>227</v>
      </c>
      <c r="H64" s="14" t="s">
        <v>228</v>
      </c>
      <c r="I64" s="14">
        <v>34462</v>
      </c>
      <c r="J64" s="14" t="s">
        <v>155</v>
      </c>
      <c r="K64" s="14" t="s">
        <v>77</v>
      </c>
      <c r="L64" s="14">
        <v>0</v>
      </c>
      <c r="M64" s="14" t="s">
        <v>79</v>
      </c>
      <c r="N64" s="14" t="s">
        <v>29</v>
      </c>
      <c r="O64" s="14">
        <v>0</v>
      </c>
      <c r="P64" s="86">
        <v>2400</v>
      </c>
      <c r="Q64" s="14">
        <v>1600</v>
      </c>
      <c r="R64" s="14">
        <v>750</v>
      </c>
      <c r="S64" s="15">
        <v>36</v>
      </c>
      <c r="T64" s="14" t="s">
        <v>37</v>
      </c>
      <c r="U64" s="16">
        <v>9670595760</v>
      </c>
      <c r="V64" s="16">
        <v>3067365037</v>
      </c>
      <c r="W64" s="14">
        <v>15</v>
      </c>
      <c r="X64" s="14">
        <v>16</v>
      </c>
      <c r="Y64" s="14" t="s">
        <v>57</v>
      </c>
      <c r="Z64" s="14" t="s">
        <v>193</v>
      </c>
      <c r="AA64" s="14" t="str">
        <f>IF(Delivery_plan_24!$AG64= " ", " ",IF(AND(Delivery_plan_24!$AG64&gt;0,AG64= ""), " Ja", "Nein"))</f>
        <v>Nein</v>
      </c>
      <c r="AB64" s="14" t="str">
        <f>IF(Delivery_plan_24!$AC64= 0, " ",IF(Delivery_plan_24!$AG64= 100%, "Ja", "Nein"))</f>
        <v>Ja</v>
      </c>
      <c r="AC64" s="94">
        <v>16</v>
      </c>
      <c r="AD64" s="10">
        <f>Gant_24!$E287</f>
        <v>5</v>
      </c>
      <c r="AE64" s="14">
        <f>SUM(Gant_24!H288:BG288)</f>
        <v>16</v>
      </c>
      <c r="AF64" s="93">
        <f t="shared" si="1"/>
        <v>0</v>
      </c>
      <c r="AG64" s="17">
        <f>IF(ISERROR(Delivery_plan_24!$AE64/Delivery_plan_24!$AC64), " ", Delivery_plan_24!$AE64/Delivery_plan_24!$AC64)</f>
        <v>1</v>
      </c>
      <c r="AH64" s="92" t="s">
        <v>294</v>
      </c>
      <c r="AI64" s="90">
        <f ca="1">Gant_24!$E$289</f>
        <v>0</v>
      </c>
      <c r="AL64" t="str">
        <f>Table5[[#This Row],[LT-Lieferant]]</f>
        <v>Josta Engineering und Vertriebs GmbH</v>
      </c>
      <c r="AM64" t="str">
        <f>Delivery_plan_24!$E64</f>
        <v>T524659</v>
      </c>
      <c r="AN64" s="8">
        <f>Delivery_plan_24!$U64</f>
        <v>9670595760</v>
      </c>
      <c r="AO64" s="8">
        <f>Delivery_plan_24!$V64</f>
        <v>3067365037</v>
      </c>
      <c r="AP64" s="7">
        <f>Delivery_plan_24!$AF64</f>
        <v>0</v>
      </c>
      <c r="AQ64" t="str">
        <f>IF(Table1[[#This Row],[Offen]]=" ", " 0 ",Delivery_plan_24!$AH64)</f>
        <v>romiljethava09@gmail.com</v>
      </c>
      <c r="AS64" t="str">
        <f>Table5[[#This Row],[T5_]]</f>
        <v>24659</v>
      </c>
      <c r="AT64" t="s">
        <v>289</v>
      </c>
      <c r="AU64">
        <f t="shared" si="2"/>
        <v>0.2</v>
      </c>
      <c r="AV64">
        <v>6</v>
      </c>
      <c r="AW64">
        <f>Table5[[#This Row],[L]]*Table5[[#This Row],[B]]*Table5[[#This Row],[H]]*Table5[[#This Row],[Füllmenge]]/1000000000</f>
        <v>103.68</v>
      </c>
      <c r="AX64">
        <f>Tabelle3[[#This Row],[Factor]]*Tabelle3[[#This Row],[How many days]]*Tabelle3[[#This Row],[Volumn*Menge]]/100</f>
        <v>1.2441600000000002</v>
      </c>
    </row>
    <row r="65" spans="2:50" x14ac:dyDescent="0.3">
      <c r="B65" s="60">
        <v>57</v>
      </c>
      <c r="C65" s="14" t="s">
        <v>20</v>
      </c>
      <c r="D65" s="14" t="s">
        <v>21</v>
      </c>
      <c r="E65" s="14" t="s">
        <v>229</v>
      </c>
      <c r="F65" s="14" t="str">
        <f>RIGHT(Delivery_plan_24!$E65,5)</f>
        <v>24662</v>
      </c>
      <c r="G65" s="14" t="s">
        <v>230</v>
      </c>
      <c r="H65" s="14" t="s">
        <v>231</v>
      </c>
      <c r="I65" s="14">
        <v>34461</v>
      </c>
      <c r="J65" s="14" t="s">
        <v>155</v>
      </c>
      <c r="K65" s="14" t="s">
        <v>68</v>
      </c>
      <c r="L65" s="14">
        <v>0</v>
      </c>
      <c r="M65" s="14" t="s">
        <v>28</v>
      </c>
      <c r="N65" s="14" t="s">
        <v>29</v>
      </c>
      <c r="O65" s="14" t="s">
        <v>28</v>
      </c>
      <c r="P65" s="86">
        <v>2400</v>
      </c>
      <c r="Q65" s="14">
        <v>1600</v>
      </c>
      <c r="R65" s="14">
        <v>1500</v>
      </c>
      <c r="S65" s="15">
        <v>11</v>
      </c>
      <c r="T65" s="14" t="s">
        <v>46</v>
      </c>
      <c r="U65" s="16">
        <v>9670595760</v>
      </c>
      <c r="V65" s="16">
        <v>3067365037</v>
      </c>
      <c r="W65" s="14">
        <v>15</v>
      </c>
      <c r="X65" s="14">
        <v>24</v>
      </c>
      <c r="Y65" s="14" t="s">
        <v>57</v>
      </c>
      <c r="Z65" s="14" t="s">
        <v>193</v>
      </c>
      <c r="AA65" s="14" t="str">
        <f>IF(Delivery_plan_24!$AG65= " ", " ",IF(AND(Delivery_plan_24!$AG65&gt;0,AG65= ""), " Ja", "Nein"))</f>
        <v>Nein</v>
      </c>
      <c r="AB65" s="14" t="str">
        <f>IF(Delivery_plan_24!$AC65= 0, " ",IF(Delivery_plan_24!$AG65= 100%, "Ja", "Nein"))</f>
        <v>Ja</v>
      </c>
      <c r="AC65" s="94">
        <v>24</v>
      </c>
      <c r="AD65" s="14">
        <f>Gant_24!$E292</f>
        <v>16</v>
      </c>
      <c r="AE65" s="14">
        <f>SUM(Gant_24!H293:BG293)</f>
        <v>24</v>
      </c>
      <c r="AF65" s="93">
        <f t="shared" si="1"/>
        <v>0</v>
      </c>
      <c r="AG65" s="17">
        <f>IF(ISERROR(Delivery_plan_24!$AE65/Delivery_plan_24!$AC65), " ", Delivery_plan_24!$AE65/Delivery_plan_24!$AC65)</f>
        <v>1</v>
      </c>
      <c r="AH65" s="92" t="s">
        <v>297</v>
      </c>
      <c r="AI65" s="90">
        <f ca="1">Gant_24!$E$294</f>
        <v>0</v>
      </c>
      <c r="AL65" t="str">
        <f>Table5[[#This Row],[LT-Lieferant]]</f>
        <v>Josta Engineering und Vertriebs GmbH</v>
      </c>
      <c r="AM65" t="str">
        <f>Delivery_plan_24!$E65</f>
        <v>T524662</v>
      </c>
      <c r="AN65" s="8">
        <f>Delivery_plan_24!$U65</f>
        <v>9670595760</v>
      </c>
      <c r="AO65" s="8">
        <f>Delivery_plan_24!$V65</f>
        <v>3067365037</v>
      </c>
      <c r="AP65" s="7">
        <f>Delivery_plan_24!$AF65</f>
        <v>0</v>
      </c>
      <c r="AQ65" t="str">
        <f>IF(Table1[[#This Row],[Offen]]=" ", " 0 ",Delivery_plan_24!$AH65)</f>
        <v>brijaltamakuwala1504@gmail.com</v>
      </c>
      <c r="AS65" t="str">
        <f>Table5[[#This Row],[T5_]]</f>
        <v>24662</v>
      </c>
      <c r="AT65" t="s">
        <v>289</v>
      </c>
      <c r="AU65">
        <f t="shared" si="2"/>
        <v>0.2</v>
      </c>
      <c r="AV65">
        <v>66</v>
      </c>
      <c r="AW65">
        <f>Table5[[#This Row],[L]]*Table5[[#This Row],[B]]*Table5[[#This Row],[H]]*Table5[[#This Row],[Füllmenge]]/1000000000</f>
        <v>63.36</v>
      </c>
      <c r="AX65">
        <f>Tabelle3[[#This Row],[Factor]]*Tabelle3[[#This Row],[How many days]]*Tabelle3[[#This Row],[Volumn*Menge]]/100</f>
        <v>8.3635200000000012</v>
      </c>
    </row>
    <row r="66" spans="2:50" x14ac:dyDescent="0.3">
      <c r="B66" s="60">
        <v>58</v>
      </c>
      <c r="C66" s="14" t="s">
        <v>20</v>
      </c>
      <c r="D66" s="14" t="s">
        <v>21</v>
      </c>
      <c r="E66" s="14" t="s">
        <v>232</v>
      </c>
      <c r="F66" s="14" t="str">
        <f>RIGHT(Delivery_plan_24!$E66,5)</f>
        <v>24661</v>
      </c>
      <c r="G66" s="14" t="s">
        <v>233</v>
      </c>
      <c r="H66" s="14" t="s">
        <v>234</v>
      </c>
      <c r="I66" s="14">
        <v>34460</v>
      </c>
      <c r="J66" s="14" t="s">
        <v>155</v>
      </c>
      <c r="K66" s="14" t="s">
        <v>77</v>
      </c>
      <c r="L66" s="14">
        <v>0</v>
      </c>
      <c r="M66" s="14" t="s">
        <v>28</v>
      </c>
      <c r="N66" s="14" t="s">
        <v>29</v>
      </c>
      <c r="O66" s="14" t="s">
        <v>28</v>
      </c>
      <c r="P66" s="86">
        <v>2400</v>
      </c>
      <c r="Q66" s="14">
        <v>1600</v>
      </c>
      <c r="R66" s="14">
        <v>1500</v>
      </c>
      <c r="S66" s="15">
        <v>68</v>
      </c>
      <c r="T66" s="14" t="s">
        <v>37</v>
      </c>
      <c r="U66" s="16">
        <v>9670595755</v>
      </c>
      <c r="V66" s="16">
        <v>3067365048</v>
      </c>
      <c r="W66" s="14">
        <v>9</v>
      </c>
      <c r="X66" s="14">
        <v>16</v>
      </c>
      <c r="Y66" s="14" t="s">
        <v>31</v>
      </c>
      <c r="Z66" s="14" t="s">
        <v>193</v>
      </c>
      <c r="AA66" s="14" t="str">
        <f>IF(Delivery_plan_24!$AG66= " ", " ",IF(AND(Delivery_plan_24!$AG66&gt;0,AG66= ""), " Ja", "Nein"))</f>
        <v>Nein</v>
      </c>
      <c r="AB66" s="14" t="str">
        <f>IF(Delivery_plan_24!$AC66= 0, " ",IF(Delivery_plan_24!$AG66= 100%, "Ja", "Nein"))</f>
        <v>Ja</v>
      </c>
      <c r="AC66" s="94">
        <v>16</v>
      </c>
      <c r="AD66" s="10">
        <f>Gant_24!$E302</f>
        <v>16</v>
      </c>
      <c r="AE66" s="14">
        <f>SUM(Gant_24!H298:BG298)</f>
        <v>16</v>
      </c>
      <c r="AF66" s="93">
        <f t="shared" si="1"/>
        <v>0</v>
      </c>
      <c r="AG66" s="17">
        <f>IF(ISERROR(Delivery_plan_24!$AE66/Delivery_plan_24!$AC66), " ", Delivery_plan_24!$AE66/Delivery_plan_24!$AC66)</f>
        <v>1</v>
      </c>
      <c r="AH66" s="92" t="s">
        <v>296</v>
      </c>
      <c r="AI66" s="90">
        <f ca="1">Gant_24!$E$299</f>
        <v>0</v>
      </c>
      <c r="AL66" t="str">
        <f>Table5[[#This Row],[LT-Lieferant]]</f>
        <v>mts Maschinenbau GmbH</v>
      </c>
      <c r="AM66" t="str">
        <f>Delivery_plan_24!$E66</f>
        <v>T524661</v>
      </c>
      <c r="AN66" s="8">
        <f>Delivery_plan_24!$U66</f>
        <v>9670595755</v>
      </c>
      <c r="AO66" s="8">
        <f>Delivery_plan_24!$V66</f>
        <v>3067365048</v>
      </c>
      <c r="AP66" s="7">
        <f>Delivery_plan_24!$AF66</f>
        <v>0</v>
      </c>
      <c r="AQ66" t="str">
        <f>IF(Table1[[#This Row],[Offen]]=" ", " 0 ",Delivery_plan_24!$AH66)</f>
        <v>jethavaromil160996@gmail.com</v>
      </c>
      <c r="AS66" t="str">
        <f>Table5[[#This Row],[T5_]]</f>
        <v>24661</v>
      </c>
      <c r="AT66" t="s">
        <v>289</v>
      </c>
      <c r="AU66">
        <f t="shared" si="2"/>
        <v>0.2</v>
      </c>
      <c r="AV66">
        <v>4</v>
      </c>
      <c r="AW66">
        <f>Table5[[#This Row],[L]]*Table5[[#This Row],[B]]*Table5[[#This Row],[H]]*Table5[[#This Row],[Füllmenge]]/1000000000</f>
        <v>391.68</v>
      </c>
      <c r="AX66">
        <f>Tabelle3[[#This Row],[Factor]]*Tabelle3[[#This Row],[How many days]]*Tabelle3[[#This Row],[Volumn*Menge]]/100</f>
        <v>3.1334400000000007</v>
      </c>
    </row>
    <row r="67" spans="2:50" ht="15" thickBot="1" x14ac:dyDescent="0.35">
      <c r="B67" s="61">
        <v>59</v>
      </c>
      <c r="C67" s="62" t="s">
        <v>20</v>
      </c>
      <c r="D67" s="62" t="s">
        <v>21</v>
      </c>
      <c r="E67" s="62" t="s">
        <v>235</v>
      </c>
      <c r="F67" s="62" t="str">
        <f>RIGHT(Delivery_plan_24!$E67,5)</f>
        <v>24658</v>
      </c>
      <c r="G67" s="62" t="s">
        <v>236</v>
      </c>
      <c r="H67" s="62" t="s">
        <v>237</v>
      </c>
      <c r="I67" s="62">
        <v>34459</v>
      </c>
      <c r="J67" s="62" t="s">
        <v>155</v>
      </c>
      <c r="K67" s="62" t="s">
        <v>77</v>
      </c>
      <c r="L67" s="62">
        <v>0</v>
      </c>
      <c r="M67" s="62" t="s">
        <v>79</v>
      </c>
      <c r="N67" s="62" t="s">
        <v>29</v>
      </c>
      <c r="O67" s="62" t="s">
        <v>28</v>
      </c>
      <c r="P67" s="87">
        <v>2400</v>
      </c>
      <c r="Q67" s="62">
        <v>1600</v>
      </c>
      <c r="R67" s="62">
        <v>1000</v>
      </c>
      <c r="S67" s="63">
        <v>35</v>
      </c>
      <c r="T67" s="62" t="s">
        <v>37</v>
      </c>
      <c r="U67" s="64">
        <v>9670595760</v>
      </c>
      <c r="V67" s="64">
        <v>3067365037</v>
      </c>
      <c r="W67" s="62">
        <v>15</v>
      </c>
      <c r="X67" s="62">
        <v>16</v>
      </c>
      <c r="Y67" s="62" t="s">
        <v>57</v>
      </c>
      <c r="Z67" s="62" t="s">
        <v>193</v>
      </c>
      <c r="AA67" s="62" t="str">
        <f>IF(Delivery_plan_24!$AG67= " ", " ",IF(AND(Delivery_plan_24!$AG67&gt;0,AG67= ""), " Ja", "Nein"))</f>
        <v>Nein</v>
      </c>
      <c r="AB67" s="62" t="str">
        <f>IF(Delivery_plan_24!$AC67= 0, " ",IF(Delivery_plan_24!$AG67= 100%, "Ja", "Nein"))</f>
        <v>Ja</v>
      </c>
      <c r="AC67" s="95">
        <v>16</v>
      </c>
      <c r="AD67" s="65">
        <f>Gant_24!$E298</f>
        <v>16</v>
      </c>
      <c r="AE67" s="62">
        <f>SUM(Gant_24!H303:BG303)</f>
        <v>16</v>
      </c>
      <c r="AF67" s="96">
        <f t="shared" si="1"/>
        <v>0</v>
      </c>
      <c r="AG67" s="66">
        <f>IF(ISERROR(Delivery_plan_24!$AE67/Delivery_plan_24!$AC67), " ", Delivery_plan_24!$AE67/Delivery_plan_24!$AC67)</f>
        <v>1</v>
      </c>
      <c r="AH67" s="92" t="s">
        <v>297</v>
      </c>
      <c r="AI67" s="91">
        <f ca="1">Gant_24!$E$304</f>
        <v>0</v>
      </c>
      <c r="AL67" t="str">
        <f>Table5[[#This Row],[LT-Lieferant]]</f>
        <v>Josta Engineering und Vertriebs GmbH</v>
      </c>
      <c r="AM67" t="str">
        <f>Delivery_plan_24!$E67</f>
        <v>T524658</v>
      </c>
      <c r="AN67" s="8">
        <f>Delivery_plan_24!$U67</f>
        <v>9670595760</v>
      </c>
      <c r="AO67" s="8">
        <f>Delivery_plan_24!$V67</f>
        <v>3067365037</v>
      </c>
      <c r="AP67" s="7">
        <f>Delivery_plan_24!$AF67</f>
        <v>0</v>
      </c>
      <c r="AQ67" t="str">
        <f>IF(Table1[[#This Row],[Offen]]=" ", " 0 ",Delivery_plan_24!$AH67)</f>
        <v>brijaltamakuwala1504@gmail.com</v>
      </c>
      <c r="AS67" t="str">
        <f>Table5[[#This Row],[T5_]]</f>
        <v>24658</v>
      </c>
      <c r="AT67" t="s">
        <v>289</v>
      </c>
      <c r="AU67">
        <f t="shared" si="2"/>
        <v>0.2</v>
      </c>
      <c r="AV67">
        <v>4</v>
      </c>
      <c r="AW67">
        <f>Table5[[#This Row],[L]]*Table5[[#This Row],[B]]*Table5[[#This Row],[H]]*Table5[[#This Row],[Füllmenge]]/1000000000</f>
        <v>134.4</v>
      </c>
      <c r="AX67">
        <f>Tabelle3[[#This Row],[Factor]]*Tabelle3[[#This Row],[How many days]]*Tabelle3[[#This Row],[Volumn*Menge]]/100</f>
        <v>1.0752000000000002</v>
      </c>
    </row>
    <row r="185" spans="34:34" x14ac:dyDescent="0.3">
      <c r="AH185"/>
    </row>
    <row r="186" spans="34:34" x14ac:dyDescent="0.3">
      <c r="AH186"/>
    </row>
  </sheetData>
  <mergeCells count="3">
    <mergeCell ref="AH4:AI7"/>
    <mergeCell ref="B4:AG7"/>
    <mergeCell ref="B1:D2"/>
  </mergeCells>
  <phoneticPr fontId="1" type="noConversion"/>
  <conditionalFormatting sqref="AG9:AG67">
    <cfRule type="dataBar" priority="122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{25459AA3-79CD-43E3-A68B-C8856C12C34F}</x14:id>
        </ext>
      </extLst>
    </cfRule>
  </conditionalFormatting>
  <dataValidations disablePrompts="1" count="2">
    <dataValidation type="list" allowBlank="1" showInputMessage="1" showErrorMessage="1" sqref="AA9:AB67" xr:uid="{B53C31DD-2DB4-4AA9-887C-51847182F6A3}">
      <formula1>"Ja,Nein"</formula1>
    </dataValidation>
    <dataValidation type="list" allowBlank="1" showInputMessage="1" showErrorMessage="1" sqref="AC9:AC67" xr:uid="{C7E7DA25-5D9F-4244-8860-8F8ABAFA739D}">
      <formula1>#REF!</formula1>
    </dataValidation>
  </dataValidations>
  <hyperlinks>
    <hyperlink ref="AH4:AI7" location="Gant_24!A1" display="Go to Gant chart" xr:uid="{921D7AE2-6DD1-421A-822D-C2DB6BE65E05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SendLTEmails">
                <anchor moveWithCells="1" sizeWithCells="1">
                  <from>
                    <xdr:col>36</xdr:col>
                    <xdr:colOff>22860</xdr:colOff>
                    <xdr:row>2</xdr:row>
                    <xdr:rowOff>0</xdr:rowOff>
                  </from>
                  <to>
                    <xdr:col>43</xdr:col>
                    <xdr:colOff>243840</xdr:colOff>
                    <xdr:row>6</xdr:row>
                    <xdr:rowOff>99060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459AA3-79CD-43E3-A68B-C8856C12C34F}">
            <x14:dataBar minLength="0" maxLength="100" border="1" gradient="0">
              <x14:cfvo type="autoMin"/>
              <x14:cfvo type="autoMax"/>
              <x14:borderColor theme="9" tint="-0.249977111117893"/>
              <x14:negativeFillColor rgb="FFFF0000"/>
              <x14:axisColor rgb="FF000000"/>
            </x14:dataBar>
          </x14:cfRule>
          <xm:sqref>AG9:AG67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1AE925D-1918-47A1-AB33-ABFE04B8BB85}">
          <x14:formula1>
            <xm:f>Tabelle1!$A$1:$A$3</xm:f>
          </x14:formula1>
          <xm:sqref>AT9:AT67</xm:sqref>
        </x14:dataValidation>
        <x14:dataValidation type="list" allowBlank="1" showInputMessage="1" showErrorMessage="1" xr:uid="{C62B83C1-3CD8-4306-85C8-F526E6FFF6E5}">
          <x14:formula1>
            <xm:f>Sheet1!$A$3:$A$7</xm:f>
          </x14:formula1>
          <xm:sqref>AH9:AH67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C06C9-3AA9-4105-A423-AD01AE0AE70A}">
  <sheetPr codeName="Sheet2"/>
  <dimension ref="A1:BH1602"/>
  <sheetViews>
    <sheetView zoomScale="55" zoomScaleNormal="55" workbookViewId="0">
      <pane xSplit="6" topLeftCell="G1" activePane="topRight" state="frozen"/>
      <selection pane="topRight" activeCell="F11" sqref="F11:F15"/>
    </sheetView>
  </sheetViews>
  <sheetFormatPr defaultColWidth="8.88671875" defaultRowHeight="14.4" x14ac:dyDescent="0.3"/>
  <cols>
    <col min="1" max="1" width="8.88671875" style="21"/>
    <col min="2" max="2" width="13" style="21" customWidth="1"/>
    <col min="3" max="3" width="17.88671875" style="21" bestFit="1" customWidth="1"/>
    <col min="4" max="4" width="14.77734375" style="21" customWidth="1"/>
    <col min="5" max="5" width="11.21875" style="21" customWidth="1"/>
    <col min="6" max="6" width="8" style="21" customWidth="1"/>
    <col min="7" max="7" width="0.5546875" customWidth="1"/>
    <col min="8" max="8" width="4.33203125" style="21" customWidth="1"/>
    <col min="9" max="9" width="4.77734375" style="21" customWidth="1"/>
    <col min="10" max="11" width="5.5546875" style="21" customWidth="1"/>
    <col min="12" max="12" width="5.44140625" style="21" customWidth="1"/>
    <col min="13" max="14" width="5.6640625" style="21" customWidth="1"/>
    <col min="15" max="16" width="6" style="21" customWidth="1"/>
    <col min="17" max="17" width="5.44140625" style="21" customWidth="1"/>
    <col min="18" max="18" width="6" style="21" customWidth="1"/>
    <col min="19" max="19" width="5.6640625" style="21" customWidth="1"/>
    <col min="20" max="20" width="5.33203125" style="21" customWidth="1"/>
    <col min="21" max="22" width="5.6640625" style="21" customWidth="1"/>
    <col min="23" max="23" width="6" style="21" customWidth="1"/>
    <col min="24" max="24" width="5.6640625" style="21" customWidth="1"/>
    <col min="25" max="25" width="5.88671875" style="21" customWidth="1"/>
    <col min="26" max="27" width="5.6640625" style="21" customWidth="1"/>
    <col min="28" max="28" width="5.33203125" style="21" customWidth="1"/>
    <col min="29" max="29" width="5.5546875" style="21" customWidth="1"/>
    <col min="30" max="30" width="5" style="21" customWidth="1"/>
    <col min="31" max="31" width="5.88671875" style="21" customWidth="1"/>
    <col min="32" max="32" width="6" style="21" customWidth="1"/>
    <col min="33" max="36" width="5.88671875" style="21" customWidth="1"/>
    <col min="37" max="37" width="5.5546875" style="21" customWidth="1"/>
    <col min="38" max="38" width="5.33203125" style="21" customWidth="1"/>
    <col min="39" max="39" width="5.88671875" style="21" customWidth="1"/>
    <col min="40" max="40" width="5.5546875" style="21" customWidth="1"/>
    <col min="41" max="41" width="5.88671875" style="21" customWidth="1"/>
    <col min="42" max="42" width="5.5546875" style="21" customWidth="1"/>
    <col min="43" max="43" width="5.21875" style="21" customWidth="1"/>
    <col min="44" max="44" width="5.5546875" style="21" customWidth="1"/>
    <col min="45" max="45" width="5.109375" style="21" customWidth="1"/>
    <col min="46" max="46" width="5.5546875" style="21" customWidth="1"/>
    <col min="47" max="48" width="5.88671875" style="21" customWidth="1"/>
    <col min="49" max="49" width="5.21875" style="21" customWidth="1"/>
    <col min="50" max="51" width="5.6640625" style="21" customWidth="1"/>
    <col min="52" max="52" width="5.5546875" style="21" customWidth="1"/>
    <col min="53" max="53" width="5.88671875" style="21" customWidth="1"/>
    <col min="54" max="54" width="6" style="21" customWidth="1"/>
    <col min="55" max="55" width="6.33203125" style="21" customWidth="1"/>
    <col min="56" max="56" width="5.88671875" style="21" customWidth="1"/>
    <col min="57" max="57" width="5.5546875" style="21" customWidth="1"/>
    <col min="58" max="58" width="5.6640625" style="21" customWidth="1"/>
    <col min="59" max="59" width="5.5546875" style="21" customWidth="1"/>
    <col min="60" max="60" width="10.44140625" style="24" customWidth="1"/>
    <col min="61" max="16384" width="8.88671875" style="21"/>
  </cols>
  <sheetData>
    <row r="1" spans="1:60" ht="42.6" customHeight="1" thickBot="1" x14ac:dyDescent="0.35">
      <c r="B1" s="138"/>
      <c r="C1" s="138"/>
      <c r="D1" s="138"/>
      <c r="H1"/>
      <c r="I1"/>
      <c r="J1"/>
      <c r="K1"/>
      <c r="L1"/>
      <c r="M1"/>
      <c r="N1"/>
      <c r="P1" s="158" t="s">
        <v>279</v>
      </c>
      <c r="Q1" s="159"/>
      <c r="R1" s="159"/>
      <c r="S1" s="160"/>
      <c r="T1"/>
      <c r="U1"/>
      <c r="V1"/>
      <c r="AB1" s="22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</row>
    <row r="2" spans="1:60" ht="49.2" customHeight="1" thickBot="1" x14ac:dyDescent="0.35">
      <c r="B2" s="138"/>
      <c r="C2" s="138"/>
      <c r="D2" s="138"/>
      <c r="H2"/>
      <c r="I2"/>
      <c r="J2"/>
      <c r="K2"/>
      <c r="L2"/>
      <c r="M2"/>
      <c r="N2"/>
      <c r="P2" s="161" t="s">
        <v>280</v>
      </c>
      <c r="Q2" s="162"/>
      <c r="R2" s="162"/>
      <c r="S2" s="163"/>
      <c r="T2"/>
      <c r="U2"/>
      <c r="V2"/>
      <c r="W2" s="25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 t="str">
        <f ca="1">IF(AZ9&gt;WEEKNUM(TODAY())," ", IF(AZ10="x",AD9,IF(SUM($AD13:AY$13)&gt;=$AC$11," ",AD9-(SUM($AC13:AY13)/(SUM($AC11:$BG11))))))</f>
        <v xml:space="preserve"> </v>
      </c>
      <c r="BA2" s="22" t="str">
        <f ca="1">IF(BA9&gt;WEEKNUM(TODAY())," ", IF(BA10="x",AE9,IF(SUM($AD13:AZ$13)&gt;=$AC$11," ",AE9-(SUM($AC13:AZ13)/(SUM($AC11:$BG11))))))</f>
        <v xml:space="preserve"> </v>
      </c>
      <c r="BB2" s="22" t="str">
        <f ca="1">IF(BB9&gt;WEEKNUM(TODAY())," ", IF(BB10="x",AF9,IF(SUM($AD13:BA$13)&gt;=$AC$11," ",AF9-(SUM($AC13:BA13)/(SUM($AC11:$BG11))))))</f>
        <v xml:space="preserve"> </v>
      </c>
      <c r="BC2" s="22" t="str">
        <f ca="1">IF(BC9&gt;WEEKNUM(TODAY())," ", IF(BC10="x",AG9,IF(SUM($AD13:BB$13)&gt;=$AC$11," ",AG9-(SUM($AC13:BB13)/(SUM($AC11:$BG11))))))</f>
        <v xml:space="preserve"> </v>
      </c>
      <c r="BD2" s="22" t="str">
        <f ca="1">IF(BD9&gt;WEEKNUM(TODAY())," ", IF(BD10="x",AH9,IF(SUM($AD13:BC$13)&gt;=$AC$11," ",AH9-(SUM($AC13:BC13)/(SUM($AC11:$BG11))))))</f>
        <v xml:space="preserve"> </v>
      </c>
      <c r="BE2" s="22" t="str">
        <f ca="1">IF(BE9&gt;WEEKNUM(TODAY())," ", IF(BE10="x",AI9,IF(SUM($AD13:BD$13)&gt;=$AC$11," ",AI9-(SUM($AC13:BD13)/(SUM($AC11:$BG11))))))</f>
        <v xml:space="preserve"> </v>
      </c>
      <c r="BF2" s="22" t="str">
        <f ca="1">IF(BF9&gt;WEEKNUM(TODAY())," ", IF(BF10="x",AJ9,IF(SUM($AD13:BE$13)&gt;=$AC$11," ",AJ9-(SUM($AC13:BE13)/(SUM($AC11:$BG11))))))</f>
        <v xml:space="preserve"> </v>
      </c>
      <c r="BG2" s="22" t="str">
        <f ca="1">IF(BG9&gt;WEEKNUM(TODAY())," ", IF(BG10="x",AK9,IF(SUM($AD13:BF$13)&gt;=$AC$11," ",AK9-(SUM($AC13:BF13)/(SUM($AC11:$BG11))))))</f>
        <v xml:space="preserve"> </v>
      </c>
    </row>
    <row r="3" spans="1:60" ht="18.600000000000001" customHeight="1" thickBot="1" x14ac:dyDescent="0.35">
      <c r="AD3" s="21" t="str">
        <f>IF(SUM($H13:$BG13)&gt; SUM($H11:$BG11), "N/A", IF(AF13= 0, " ",IF(SUM($H13:$BG13)=SUM($H11:$BG11), "x"," ")))</f>
        <v xml:space="preserve"> </v>
      </c>
      <c r="AE3" s="21" t="str">
        <f t="shared" ref="AE3:BE3" si="0">IF(SUM($H13:$BG13)&gt; SUM($H11:$BG11), "N/A", IF(AG13= 0, " ",IF(SUM($H13:$BG13)=SUM($H11:$BG11), "x"," ")))</f>
        <v xml:space="preserve"> </v>
      </c>
      <c r="AF3" s="21" t="str">
        <f t="shared" si="0"/>
        <v xml:space="preserve"> </v>
      </c>
      <c r="AG3" s="21" t="str">
        <f t="shared" si="0"/>
        <v xml:space="preserve"> </v>
      </c>
      <c r="AI3" s="21" t="str">
        <f t="shared" si="0"/>
        <v xml:space="preserve"> </v>
      </c>
      <c r="AJ3" s="21" t="str">
        <f t="shared" si="0"/>
        <v xml:space="preserve"> </v>
      </c>
      <c r="AK3" s="21" t="str">
        <f t="shared" si="0"/>
        <v xml:space="preserve"> </v>
      </c>
      <c r="AL3" s="21" t="str">
        <f t="shared" si="0"/>
        <v xml:space="preserve"> </v>
      </c>
      <c r="AM3" s="21" t="str">
        <f t="shared" si="0"/>
        <v xml:space="preserve"> </v>
      </c>
      <c r="AN3" s="21" t="str">
        <f t="shared" si="0"/>
        <v xml:space="preserve"> </v>
      </c>
      <c r="AO3" s="21" t="str">
        <f t="shared" si="0"/>
        <v xml:space="preserve"> </v>
      </c>
      <c r="AP3" s="21" t="str">
        <f t="shared" si="0"/>
        <v xml:space="preserve"> </v>
      </c>
      <c r="AQ3" s="21" t="str">
        <f t="shared" si="0"/>
        <v xml:space="preserve"> </v>
      </c>
      <c r="AR3" s="21" t="str">
        <f t="shared" si="0"/>
        <v xml:space="preserve"> </v>
      </c>
      <c r="AS3" s="21" t="str">
        <f t="shared" si="0"/>
        <v xml:space="preserve"> </v>
      </c>
      <c r="AT3" s="21" t="str">
        <f t="shared" si="0"/>
        <v xml:space="preserve"> </v>
      </c>
      <c r="AU3" s="21" t="str">
        <f t="shared" si="0"/>
        <v xml:space="preserve"> </v>
      </c>
      <c r="AV3" s="21" t="str">
        <f t="shared" si="0"/>
        <v xml:space="preserve"> </v>
      </c>
      <c r="AW3" s="21" t="str">
        <f t="shared" si="0"/>
        <v xml:space="preserve"> </v>
      </c>
      <c r="AX3" s="21" t="str">
        <f t="shared" si="0"/>
        <v xml:space="preserve"> </v>
      </c>
      <c r="AY3" s="21" t="str">
        <f t="shared" si="0"/>
        <v xml:space="preserve"> </v>
      </c>
      <c r="AZ3" s="21" t="str">
        <f t="shared" si="0"/>
        <v xml:space="preserve"> </v>
      </c>
      <c r="BA3" s="21" t="str">
        <f t="shared" si="0"/>
        <v xml:space="preserve"> </v>
      </c>
      <c r="BB3" s="21" t="str">
        <f t="shared" si="0"/>
        <v xml:space="preserve"> </v>
      </c>
      <c r="BC3" s="21" t="str">
        <f t="shared" si="0"/>
        <v xml:space="preserve"> </v>
      </c>
      <c r="BD3" s="21" t="str">
        <f t="shared" si="0"/>
        <v xml:space="preserve"> </v>
      </c>
      <c r="BE3" s="21" t="str">
        <f t="shared" si="0"/>
        <v xml:space="preserve"> </v>
      </c>
    </row>
    <row r="4" spans="1:60" ht="23.4" customHeight="1" x14ac:dyDescent="0.3">
      <c r="B4" s="80"/>
      <c r="C4" s="81" t="s">
        <v>247</v>
      </c>
      <c r="D4" s="152" t="s">
        <v>248</v>
      </c>
      <c r="E4" s="153"/>
      <c r="F4" s="131" t="s">
        <v>254</v>
      </c>
      <c r="H4" s="145" t="s">
        <v>281</v>
      </c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7"/>
      <c r="V4" s="121" t="s">
        <v>264</v>
      </c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  <c r="AH4" s="122"/>
      <c r="AI4" s="122"/>
      <c r="AJ4" s="122"/>
      <c r="AK4" s="122"/>
      <c r="AL4" s="122"/>
      <c r="AM4" s="122"/>
      <c r="AN4" s="122"/>
      <c r="AO4" s="122"/>
      <c r="AP4" s="122"/>
      <c r="AQ4" s="122"/>
      <c r="AR4" s="122"/>
      <c r="AS4" s="122"/>
      <c r="AT4" s="122"/>
      <c r="AU4" s="122"/>
      <c r="AV4" s="122"/>
      <c r="AW4" s="122"/>
      <c r="AX4" s="123"/>
      <c r="AY4" s="130" t="s">
        <v>265</v>
      </c>
      <c r="AZ4" s="130"/>
      <c r="BA4" s="130"/>
      <c r="BB4" s="130"/>
      <c r="BC4" s="130"/>
      <c r="BD4" s="130"/>
      <c r="BE4" s="130"/>
      <c r="BF4" s="130"/>
      <c r="BG4" s="130"/>
    </row>
    <row r="5" spans="1:60" ht="23.4" customHeight="1" x14ac:dyDescent="0.3">
      <c r="B5" s="148" t="s">
        <v>246</v>
      </c>
      <c r="C5" s="150">
        <f ca="1">WEEKNUM(TODAY())</f>
        <v>14</v>
      </c>
      <c r="D5" s="154">
        <v>2025</v>
      </c>
      <c r="E5" s="155"/>
      <c r="F5" s="131"/>
      <c r="H5" s="142" t="s">
        <v>282</v>
      </c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4"/>
      <c r="V5" s="124"/>
      <c r="W5" s="125"/>
      <c r="X5" s="125"/>
      <c r="Y5" s="125"/>
      <c r="Z5" s="125"/>
      <c r="AA5" s="125"/>
      <c r="AB5" s="125"/>
      <c r="AC5" s="125"/>
      <c r="AD5" s="125"/>
      <c r="AE5" s="125"/>
      <c r="AF5" s="125"/>
      <c r="AG5" s="125"/>
      <c r="AH5" s="125"/>
      <c r="AI5" s="125"/>
      <c r="AJ5" s="125"/>
      <c r="AK5" s="125"/>
      <c r="AL5" s="125"/>
      <c r="AM5" s="125"/>
      <c r="AN5" s="125"/>
      <c r="AO5" s="125"/>
      <c r="AP5" s="125"/>
      <c r="AQ5" s="125"/>
      <c r="AR5" s="125"/>
      <c r="AS5" s="125"/>
      <c r="AT5" s="125"/>
      <c r="AU5" s="125"/>
      <c r="AV5" s="125"/>
      <c r="AW5" s="125"/>
      <c r="AX5" s="126"/>
      <c r="AY5" s="130"/>
      <c r="AZ5" s="130"/>
      <c r="BA5" s="130"/>
      <c r="BB5" s="130"/>
      <c r="BC5" s="130"/>
      <c r="BD5" s="130"/>
      <c r="BE5" s="130"/>
      <c r="BF5" s="130"/>
      <c r="BG5" s="130"/>
    </row>
    <row r="6" spans="1:60" ht="27.6" customHeight="1" thickBot="1" x14ac:dyDescent="0.35">
      <c r="B6" s="149"/>
      <c r="C6" s="151"/>
      <c r="D6" s="156"/>
      <c r="E6" s="157"/>
      <c r="F6" s="131"/>
      <c r="H6" s="139" t="s">
        <v>283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1"/>
      <c r="V6" s="127"/>
      <c r="W6" s="128"/>
      <c r="X6" s="128"/>
      <c r="Y6" s="128"/>
      <c r="Z6" s="128"/>
      <c r="AA6" s="128"/>
      <c r="AB6" s="128"/>
      <c r="AC6" s="128"/>
      <c r="AD6" s="128"/>
      <c r="AE6" s="128"/>
      <c r="AF6" s="128"/>
      <c r="AG6" s="128"/>
      <c r="AH6" s="128"/>
      <c r="AI6" s="128"/>
      <c r="AJ6" s="128"/>
      <c r="AK6" s="128"/>
      <c r="AL6" s="128"/>
      <c r="AM6" s="128"/>
      <c r="AN6" s="128"/>
      <c r="AO6" s="128"/>
      <c r="AP6" s="128"/>
      <c r="AQ6" s="128"/>
      <c r="AR6" s="128"/>
      <c r="AS6" s="128"/>
      <c r="AT6" s="128"/>
      <c r="AU6" s="128"/>
      <c r="AV6" s="128"/>
      <c r="AW6" s="128"/>
      <c r="AX6" s="129"/>
      <c r="AY6" s="130"/>
      <c r="AZ6" s="130"/>
      <c r="BA6" s="130"/>
      <c r="BB6" s="130"/>
      <c r="BC6" s="130"/>
      <c r="BD6" s="130"/>
      <c r="BE6" s="130"/>
      <c r="BF6" s="130"/>
      <c r="BG6" s="130"/>
    </row>
    <row r="7" spans="1:60" ht="4.8" customHeight="1" thickBot="1" x14ac:dyDescent="0.35">
      <c r="AX7" s="26"/>
      <c r="AY7" s="27"/>
      <c r="AZ7" s="27"/>
      <c r="BA7" s="27"/>
      <c r="BB7" s="27"/>
      <c r="BC7" s="27"/>
      <c r="BD7" s="27"/>
      <c r="BE7" s="27"/>
      <c r="BF7" s="27"/>
    </row>
    <row r="8" spans="1:60" ht="40.200000000000003" customHeight="1" thickBot="1" x14ac:dyDescent="0.45">
      <c r="A8" s="21" t="s">
        <v>255</v>
      </c>
      <c r="B8" s="118" t="s">
        <v>263</v>
      </c>
      <c r="C8" s="119"/>
      <c r="D8" s="119"/>
      <c r="E8" s="119"/>
      <c r="F8" s="120"/>
      <c r="H8" s="135" t="s">
        <v>266</v>
      </c>
      <c r="I8" s="136"/>
      <c r="J8" s="136"/>
      <c r="K8" s="137"/>
      <c r="L8" s="135" t="s">
        <v>267</v>
      </c>
      <c r="M8" s="136"/>
      <c r="N8" s="136"/>
      <c r="O8" s="136"/>
      <c r="P8" s="137"/>
      <c r="Q8" s="135" t="s">
        <v>268</v>
      </c>
      <c r="R8" s="136"/>
      <c r="S8" s="136"/>
      <c r="T8" s="137"/>
      <c r="U8" s="135" t="s">
        <v>269</v>
      </c>
      <c r="V8" s="136"/>
      <c r="W8" s="136"/>
      <c r="X8" s="137"/>
      <c r="Y8" s="135" t="s">
        <v>270</v>
      </c>
      <c r="Z8" s="136"/>
      <c r="AA8" s="136"/>
      <c r="AB8" s="136"/>
      <c r="AC8" s="137"/>
      <c r="AD8" s="135" t="s">
        <v>271</v>
      </c>
      <c r="AE8" s="136"/>
      <c r="AF8" s="136"/>
      <c r="AG8" s="137"/>
      <c r="AH8" s="135" t="s">
        <v>272</v>
      </c>
      <c r="AI8" s="136"/>
      <c r="AJ8" s="136"/>
      <c r="AK8" s="137"/>
      <c r="AL8" s="135" t="s">
        <v>273</v>
      </c>
      <c r="AM8" s="136"/>
      <c r="AN8" s="136"/>
      <c r="AO8" s="136"/>
      <c r="AP8" s="137"/>
      <c r="AQ8" s="135" t="s">
        <v>274</v>
      </c>
      <c r="AR8" s="136"/>
      <c r="AS8" s="136"/>
      <c r="AT8" s="137"/>
      <c r="AU8" s="135" t="s">
        <v>275</v>
      </c>
      <c r="AV8" s="136"/>
      <c r="AW8" s="136"/>
      <c r="AX8" s="136"/>
      <c r="AY8" s="137"/>
      <c r="AZ8" s="135" t="s">
        <v>276</v>
      </c>
      <c r="BA8" s="136"/>
      <c r="BB8" s="136"/>
      <c r="BC8" s="137"/>
      <c r="BD8" s="132" t="s">
        <v>277</v>
      </c>
      <c r="BE8" s="133"/>
      <c r="BF8" s="133"/>
      <c r="BG8" s="134"/>
    </row>
    <row r="9" spans="1:60" ht="50.4" customHeight="1" thickBot="1" x14ac:dyDescent="0.35">
      <c r="B9" s="35" t="s">
        <v>3</v>
      </c>
      <c r="C9" s="34" t="s">
        <v>4</v>
      </c>
      <c r="D9" s="37" t="s">
        <v>257</v>
      </c>
      <c r="E9" s="39" t="s">
        <v>256</v>
      </c>
      <c r="F9" s="38" t="s">
        <v>262</v>
      </c>
      <c r="H9" s="74">
        <f>IF(WEEKNUM(1.012024)&lt;53,WEEKNUM(1.012024),1)</f>
        <v>1</v>
      </c>
      <c r="I9" s="75">
        <f>IF(H9+1&lt;53,H9+1,1)</f>
        <v>2</v>
      </c>
      <c r="J9" s="75">
        <f t="shared" ref="J9:BG9" si="1">IF(I9+1&lt;53,I9+1,1)</f>
        <v>3</v>
      </c>
      <c r="K9" s="75">
        <f t="shared" si="1"/>
        <v>4</v>
      </c>
      <c r="L9" s="75">
        <f>IF(K9+1&lt;53,K9+1,1)</f>
        <v>5</v>
      </c>
      <c r="M9" s="75">
        <f t="shared" si="1"/>
        <v>6</v>
      </c>
      <c r="N9" s="75">
        <f t="shared" si="1"/>
        <v>7</v>
      </c>
      <c r="O9" s="75">
        <f t="shared" si="1"/>
        <v>8</v>
      </c>
      <c r="P9" s="75">
        <f t="shared" si="1"/>
        <v>9</v>
      </c>
      <c r="Q9" s="75">
        <f t="shared" si="1"/>
        <v>10</v>
      </c>
      <c r="R9" s="75">
        <f t="shared" si="1"/>
        <v>11</v>
      </c>
      <c r="S9" s="75">
        <f t="shared" si="1"/>
        <v>12</v>
      </c>
      <c r="T9" s="75">
        <f t="shared" si="1"/>
        <v>13</v>
      </c>
      <c r="U9" s="75">
        <f t="shared" si="1"/>
        <v>14</v>
      </c>
      <c r="V9" s="75">
        <f t="shared" si="1"/>
        <v>15</v>
      </c>
      <c r="W9" s="75">
        <f t="shared" si="1"/>
        <v>16</v>
      </c>
      <c r="X9" s="75">
        <f t="shared" si="1"/>
        <v>17</v>
      </c>
      <c r="Y9" s="75">
        <f t="shared" si="1"/>
        <v>18</v>
      </c>
      <c r="Z9" s="75">
        <f t="shared" si="1"/>
        <v>19</v>
      </c>
      <c r="AA9" s="75">
        <f t="shared" si="1"/>
        <v>20</v>
      </c>
      <c r="AB9" s="75">
        <f t="shared" si="1"/>
        <v>21</v>
      </c>
      <c r="AC9" s="75">
        <f t="shared" si="1"/>
        <v>22</v>
      </c>
      <c r="AD9" s="75">
        <f t="shared" si="1"/>
        <v>23</v>
      </c>
      <c r="AE9" s="75">
        <f t="shared" si="1"/>
        <v>24</v>
      </c>
      <c r="AF9" s="75">
        <f t="shared" si="1"/>
        <v>25</v>
      </c>
      <c r="AG9" s="75">
        <f t="shared" si="1"/>
        <v>26</v>
      </c>
      <c r="AH9" s="75">
        <f t="shared" si="1"/>
        <v>27</v>
      </c>
      <c r="AI9" s="75">
        <f t="shared" si="1"/>
        <v>28</v>
      </c>
      <c r="AJ9" s="75">
        <f t="shared" si="1"/>
        <v>29</v>
      </c>
      <c r="AK9" s="75">
        <f t="shared" si="1"/>
        <v>30</v>
      </c>
      <c r="AL9" s="75">
        <f t="shared" si="1"/>
        <v>31</v>
      </c>
      <c r="AM9" s="75">
        <f t="shared" si="1"/>
        <v>32</v>
      </c>
      <c r="AN9" s="75">
        <f t="shared" si="1"/>
        <v>33</v>
      </c>
      <c r="AO9" s="75">
        <f t="shared" si="1"/>
        <v>34</v>
      </c>
      <c r="AP9" s="75">
        <f t="shared" si="1"/>
        <v>35</v>
      </c>
      <c r="AQ9" s="75">
        <f t="shared" si="1"/>
        <v>36</v>
      </c>
      <c r="AR9" s="75">
        <f>IF(AQ9+1&lt;53,AQ9+1,1)</f>
        <v>37</v>
      </c>
      <c r="AS9" s="75">
        <f t="shared" si="1"/>
        <v>38</v>
      </c>
      <c r="AT9" s="75">
        <f t="shared" si="1"/>
        <v>39</v>
      </c>
      <c r="AU9" s="75">
        <f t="shared" si="1"/>
        <v>40</v>
      </c>
      <c r="AV9" s="75">
        <f t="shared" si="1"/>
        <v>41</v>
      </c>
      <c r="AW9" s="75">
        <f t="shared" si="1"/>
        <v>42</v>
      </c>
      <c r="AX9" s="75">
        <f t="shared" si="1"/>
        <v>43</v>
      </c>
      <c r="AY9" s="75">
        <f t="shared" si="1"/>
        <v>44</v>
      </c>
      <c r="AZ9" s="75">
        <f t="shared" si="1"/>
        <v>45</v>
      </c>
      <c r="BA9" s="75">
        <f t="shared" si="1"/>
        <v>46</v>
      </c>
      <c r="BB9" s="75">
        <f t="shared" si="1"/>
        <v>47</v>
      </c>
      <c r="BC9" s="75">
        <f t="shared" si="1"/>
        <v>48</v>
      </c>
      <c r="BD9" s="75">
        <f t="shared" si="1"/>
        <v>49</v>
      </c>
      <c r="BE9" s="75">
        <f t="shared" si="1"/>
        <v>50</v>
      </c>
      <c r="BF9" s="75">
        <f t="shared" si="1"/>
        <v>51</v>
      </c>
      <c r="BG9" s="76">
        <f t="shared" si="1"/>
        <v>52</v>
      </c>
      <c r="BH9" s="21"/>
    </row>
    <row r="10" spans="1:60" ht="7.2" customHeight="1" thickBot="1" x14ac:dyDescent="0.35">
      <c r="B10" s="32"/>
      <c r="C10" s="33"/>
      <c r="D10" s="33"/>
      <c r="E10" s="33"/>
      <c r="F10" s="40"/>
      <c r="H10" s="28" t="str">
        <f t="shared" ref="H10:AM10" ca="1" si="2">IF(H9=$C5, "X","")</f>
        <v/>
      </c>
      <c r="I10" s="29" t="str">
        <f t="shared" ca="1" si="2"/>
        <v/>
      </c>
      <c r="J10" s="29" t="str">
        <f t="shared" ca="1" si="2"/>
        <v/>
      </c>
      <c r="K10" s="29" t="str">
        <f t="shared" ca="1" si="2"/>
        <v/>
      </c>
      <c r="L10" s="29" t="str">
        <f t="shared" ca="1" si="2"/>
        <v/>
      </c>
      <c r="M10" s="29" t="str">
        <f t="shared" ca="1" si="2"/>
        <v/>
      </c>
      <c r="N10" s="29" t="str">
        <f t="shared" ca="1" si="2"/>
        <v/>
      </c>
      <c r="O10" s="29" t="str">
        <f t="shared" ca="1" si="2"/>
        <v/>
      </c>
      <c r="P10" s="29" t="str">
        <f t="shared" ca="1" si="2"/>
        <v/>
      </c>
      <c r="Q10" s="29" t="str">
        <f t="shared" ca="1" si="2"/>
        <v/>
      </c>
      <c r="R10" s="29" t="str">
        <f t="shared" ca="1" si="2"/>
        <v/>
      </c>
      <c r="S10" s="29" t="str">
        <f t="shared" ca="1" si="2"/>
        <v/>
      </c>
      <c r="T10" s="29" t="str">
        <f t="shared" ca="1" si="2"/>
        <v/>
      </c>
      <c r="U10" s="29" t="str">
        <f t="shared" ca="1" si="2"/>
        <v>X</v>
      </c>
      <c r="V10" s="29" t="str">
        <f t="shared" ca="1" si="2"/>
        <v/>
      </c>
      <c r="W10" s="29" t="str">
        <f t="shared" ca="1" si="2"/>
        <v/>
      </c>
      <c r="X10" s="29" t="str">
        <f t="shared" ca="1" si="2"/>
        <v/>
      </c>
      <c r="Y10" s="29" t="str">
        <f t="shared" ca="1" si="2"/>
        <v/>
      </c>
      <c r="Z10" s="29" t="str">
        <f t="shared" ca="1" si="2"/>
        <v/>
      </c>
      <c r="AA10" s="29" t="str">
        <f t="shared" ca="1" si="2"/>
        <v/>
      </c>
      <c r="AB10" s="29" t="str">
        <f t="shared" ca="1" si="2"/>
        <v/>
      </c>
      <c r="AC10" s="29" t="str">
        <f t="shared" ca="1" si="2"/>
        <v/>
      </c>
      <c r="AD10" s="29" t="str">
        <f t="shared" ca="1" si="2"/>
        <v/>
      </c>
      <c r="AE10" s="29" t="str">
        <f t="shared" ca="1" si="2"/>
        <v/>
      </c>
      <c r="AF10" s="29" t="str">
        <f t="shared" ca="1" si="2"/>
        <v/>
      </c>
      <c r="AG10" s="29" t="str">
        <f t="shared" ca="1" si="2"/>
        <v/>
      </c>
      <c r="AH10" s="29" t="str">
        <f t="shared" ca="1" si="2"/>
        <v/>
      </c>
      <c r="AI10" s="29" t="str">
        <f t="shared" ca="1" si="2"/>
        <v/>
      </c>
      <c r="AJ10" s="29" t="str">
        <f t="shared" ca="1" si="2"/>
        <v/>
      </c>
      <c r="AK10" s="29" t="str">
        <f t="shared" ca="1" si="2"/>
        <v/>
      </c>
      <c r="AL10" s="29" t="str">
        <f t="shared" ca="1" si="2"/>
        <v/>
      </c>
      <c r="AM10" s="29" t="str">
        <f t="shared" ca="1" si="2"/>
        <v/>
      </c>
      <c r="AN10" s="29" t="str">
        <f t="shared" ref="AN10:BG10" ca="1" si="3">IF(AN9=$C5, "X","")</f>
        <v/>
      </c>
      <c r="AO10" s="29" t="str">
        <f t="shared" ca="1" si="3"/>
        <v/>
      </c>
      <c r="AP10" s="29" t="str">
        <f t="shared" ca="1" si="3"/>
        <v/>
      </c>
      <c r="AQ10" s="29" t="str">
        <f t="shared" ca="1" si="3"/>
        <v/>
      </c>
      <c r="AR10" s="29" t="str">
        <f t="shared" ca="1" si="3"/>
        <v/>
      </c>
      <c r="AS10" s="29" t="str">
        <f t="shared" ca="1" si="3"/>
        <v/>
      </c>
      <c r="AT10" s="29" t="str">
        <f t="shared" ca="1" si="3"/>
        <v/>
      </c>
      <c r="AU10" s="29" t="str">
        <f t="shared" ca="1" si="3"/>
        <v/>
      </c>
      <c r="AV10" s="29" t="str">
        <f t="shared" ca="1" si="3"/>
        <v/>
      </c>
      <c r="AW10" s="29" t="str">
        <f t="shared" ca="1" si="3"/>
        <v/>
      </c>
      <c r="AX10" s="29" t="str">
        <f t="shared" ca="1" si="3"/>
        <v/>
      </c>
      <c r="AY10" s="29" t="str">
        <f t="shared" ca="1" si="3"/>
        <v/>
      </c>
      <c r="AZ10" s="29" t="str">
        <f t="shared" ca="1" si="3"/>
        <v/>
      </c>
      <c r="BA10" s="29" t="str">
        <f t="shared" ca="1" si="3"/>
        <v/>
      </c>
      <c r="BB10" s="29" t="str">
        <f t="shared" ca="1" si="3"/>
        <v/>
      </c>
      <c r="BC10" s="29" t="str">
        <f t="shared" ca="1" si="3"/>
        <v/>
      </c>
      <c r="BD10" s="29" t="str">
        <f t="shared" ca="1" si="3"/>
        <v/>
      </c>
      <c r="BE10" s="29" t="str">
        <f t="shared" ca="1" si="3"/>
        <v/>
      </c>
      <c r="BF10" s="29" t="str">
        <f t="shared" ca="1" si="3"/>
        <v/>
      </c>
      <c r="BG10" s="30" t="str">
        <f t="shared" ca="1" si="3"/>
        <v/>
      </c>
      <c r="BH10" s="21"/>
    </row>
    <row r="11" spans="1:60" ht="15.6" customHeight="1" x14ac:dyDescent="0.3">
      <c r="B11" s="67"/>
      <c r="C11" s="77"/>
      <c r="D11" s="82" t="s">
        <v>249</v>
      </c>
      <c r="E11" s="54">
        <f>SUM(H11:BG11)</f>
        <v>41</v>
      </c>
      <c r="F11" s="115">
        <f>Gant_24!$E11-E13</f>
        <v>5</v>
      </c>
      <c r="H11" s="41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>
        <v>41</v>
      </c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21"/>
    </row>
    <row r="12" spans="1:60" ht="12" customHeight="1" x14ac:dyDescent="0.3">
      <c r="B12" s="68"/>
      <c r="C12" s="78"/>
      <c r="D12" s="83" t="s">
        <v>261</v>
      </c>
      <c r="E12" s="55">
        <f>SUM(H12:BG12)</f>
        <v>0</v>
      </c>
      <c r="F12" s="116"/>
      <c r="H12" s="43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21"/>
    </row>
    <row r="13" spans="1:60" s="31" customFormat="1" ht="14.4" customHeight="1" x14ac:dyDescent="0.3">
      <c r="B13" s="68" t="s">
        <v>22</v>
      </c>
      <c r="C13" s="78" t="s">
        <v>23</v>
      </c>
      <c r="D13" s="83" t="s">
        <v>241</v>
      </c>
      <c r="E13" s="55">
        <f>SUM(H13:BG13)</f>
        <v>36</v>
      </c>
      <c r="F13" s="116"/>
      <c r="G13"/>
      <c r="H13" s="45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>
        <v>5</v>
      </c>
      <c r="AF13" s="46"/>
      <c r="AG13" s="46"/>
      <c r="AH13" s="46"/>
      <c r="AI13" s="46"/>
      <c r="AJ13" s="46"/>
      <c r="AK13" s="46"/>
      <c r="AL13" s="46">
        <v>31</v>
      </c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</row>
    <row r="14" spans="1:60" s="31" customFormat="1" ht="15.6" x14ac:dyDescent="0.3">
      <c r="B14" s="68"/>
      <c r="C14" s="78"/>
      <c r="D14" s="83" t="s">
        <v>278</v>
      </c>
      <c r="E14" s="56">
        <f ca="1">MAX(H14:BG14)</f>
        <v>0</v>
      </c>
      <c r="F14" s="116"/>
      <c r="G14"/>
      <c r="H14" s="47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 t="str">
        <f>IF(SUM(H11:BG11)=AC13," 0 "," ")</f>
        <v xml:space="preserve"> </v>
      </c>
      <c r="AD14" s="48" t="str">
        <f ca="1">IF(AD9&gt;WEEKNUM(TODAY())," ",IF(AND(AD10="x",SUM($AC13:AD$13)&gt;$AC$11),H9-(SUM($AC13:AC13)/SUM($AC11:$BG11)),IF(SUM($AC13:AD$13)&gt;=$AC$11," ",H9-(SUM($AC13:AC13)/(SUM($AC11:$BG11))))))</f>
        <v xml:space="preserve"> </v>
      </c>
      <c r="AE14" s="48" t="str">
        <f ca="1">IF(AE9&gt;WEEKNUM(TODAY())," ",IF(AND(AE10="x",SUM($AC13:AE$13)&gt;$AC$11),I9-(SUM($AC13:AD13)/SUM($AC11:$BG11)),IF(SUM($AC13:AE$13)&gt;=$AC$11," ",I9-(SUM($AC13:AD13)/(SUM($AC11:$BG11))))))</f>
        <v xml:space="preserve"> </v>
      </c>
      <c r="AF14" s="48" t="str">
        <f ca="1">IF(AF9&gt;WEEKNUM(TODAY())," ",IF(AND(AF10="x",SUM($AC13:AF$13)&gt;$AC$11),J9-(SUM($AC13:AE13)/SUM($AC11:$BG11)),IF(SUM($AC13:AF$13)&gt;=$AC$11," ",J9-(SUM($AC13:AE13)/(SUM($AC11:$BG11))))))</f>
        <v xml:space="preserve"> </v>
      </c>
      <c r="AG14" s="48" t="str">
        <f ca="1">IF(AG9&gt;WEEKNUM(TODAY())," ",IF(AND(AG10="x",SUM($AC13:AG$13)&gt;$AC$11),K9-(SUM($AC13:AF13)/SUM($AC11:$BG11)),IF(SUM($AC13:AG$13)&gt;=$AC$11," ",K9-(SUM($AC13:AF13)/(SUM($AC11:$BG11))))))</f>
        <v xml:space="preserve"> </v>
      </c>
      <c r="AH14" s="48" t="str">
        <f ca="1">IF(AH9&gt;WEEKNUM(TODAY())," ",IF(AND(AH10="x",SUM($AC13:AH$13)&gt;$AC$11),L9-(SUM($AC13:AG13)/SUM($AC11:$BG11)),IF(SUM($AC13:AH$13)&gt;=$AC$11," ",L9-(SUM($AC13:AG13)/(SUM($AC11:$BG11))))))</f>
        <v xml:space="preserve"> </v>
      </c>
      <c r="AI14" s="48" t="str">
        <f ca="1">IF(AI9&gt;WEEKNUM(TODAY())," ",IF(AND(AI10="x",SUM($AC13:AI$13)&gt;$AC$11),M9-(SUM($AC13:AH13)/SUM($AC11:$BG11)),IF(SUM($AC13:AI$13)&gt;=$AC$11," ",M9-(SUM($AC13:AH13)/(SUM($AC11:$BG11))))))</f>
        <v xml:space="preserve"> </v>
      </c>
      <c r="AJ14" s="48" t="str">
        <f ca="1">IF(AJ9&gt;WEEKNUM(TODAY())," ",IF(AND(AJ10="x",SUM($AC13:AJ$13)&gt;$AC$11),N9-(SUM($AC13:AI13)/SUM($AC11:$BG11)),IF(SUM($AC13:AJ$13)&gt;=$AC$11," ",N9-(SUM($AC13:AI13)/(SUM($AC11:$BG11))))))</f>
        <v xml:space="preserve"> </v>
      </c>
      <c r="AK14" s="48" t="str">
        <f ca="1">IF(AK9&gt;WEEKNUM(TODAY())," ",IF(AND(AK10="x",SUM($AC13:AK$13)&gt;$AC$11),O9-(SUM($AC13:AJ13)/SUM($AC11:$BG11)),IF(SUM($AC13:AK$13)&gt;=$AC$11," ",O9-(SUM($AC13:AJ13)/(SUM($AC11:$BG11))))))</f>
        <v xml:space="preserve"> </v>
      </c>
      <c r="AL14" s="48" t="str">
        <f ca="1">IF(AL9&gt;WEEKNUM(TODAY())," ",IF(AND(AL10="x",SUM($AC13:AL$13)&gt;$AC$11),P9-(SUM($AC13:AK13)/SUM($AC11:$BG11)),IF(SUM($AC13:AL$13)&gt;=$AC$11," ",P9-(SUM($AC13:AK13)/(SUM($AC11:$BG11))))))</f>
        <v xml:space="preserve"> </v>
      </c>
      <c r="AM14" s="48" t="str">
        <f ca="1">IF(AM9&gt;WEEKNUM(TODAY())," ",IF(AND(AM10="x",SUM($AC13:AM$13)&gt;$AC$11),Q9-(SUM($AC13:AL13)/SUM($AC11:$BG11)),IF(SUM($AC13:AM$13)&gt;=$AC$11," ",Q9-(SUM($AC13:AL13)/(SUM($AC11:$BG11))))))</f>
        <v xml:space="preserve"> </v>
      </c>
      <c r="AN14" s="48" t="str">
        <f ca="1">IF(AN9&gt;WEEKNUM(TODAY())," ",IF(AND(AN10="x",SUM($AC13:AN$13)&gt;$AC$11),R9-(SUM($AC13:AM13)/SUM($AC11:$BG11)),IF(SUM($AC13:AN$13)&gt;=$AC$11," ",R9-(SUM($AC13:AM13)/(SUM($AC11:$BG11))))))</f>
        <v xml:space="preserve"> </v>
      </c>
      <c r="AO14" s="48" t="str">
        <f ca="1">IF(AO9&gt;WEEKNUM(TODAY())," ",IF(AND(AO10="x",SUM($AC13:AO$13)&gt;$AC$11),S9-(SUM($AC13:AN13)/SUM($AC11:$BG11)),IF(SUM($AC13:AO$13)&gt;=$AC$11," ",S9-(SUM($AC13:AN13)/(SUM($AC11:$BG11))))))</f>
        <v xml:space="preserve"> </v>
      </c>
      <c r="AP14" s="48" t="str">
        <f ca="1">IF(AP9&gt;WEEKNUM(TODAY())," ",IF(AND(AP10="x",SUM($AC13:AP$13)&gt;$AC$11),T9-(SUM($AC13:AO13)/SUM($AC11:$BG11)),IF(SUM($AC13:AP$13)&gt;=$AC$11," ",T9-(SUM($AC13:AO13)/(SUM($AC11:$BG11))))))</f>
        <v xml:space="preserve"> </v>
      </c>
      <c r="AQ14" s="48" t="str">
        <f ca="1">IF(AQ9&gt;WEEKNUM(TODAY())," ",IF(AND(AQ10="x",SUM($AC13:AQ$13)&gt;$AC$11),U9-(SUM($AC13:AP13)/SUM($AC11:$BG11)),IF(SUM($AC13:AQ$13)&gt;=$AC$11," ",U9-(SUM($AC13:AP13)/(SUM($AC11:$BG11))))))</f>
        <v xml:space="preserve"> </v>
      </c>
      <c r="AR14" s="48" t="str">
        <f ca="1">IF(AR9&gt;WEEKNUM(TODAY())," ",IF(AND(AR10="x",SUM($AC13:AR$13)&gt;$AC$11),V9-(SUM($AC13:AQ13)/SUM($AC11:$BG11)),IF(SUM($AC13:AR$13)&gt;=$AC$11," ",V9-(SUM($AC13:AQ13)/(SUM($AC11:$BG11))))))</f>
        <v xml:space="preserve"> </v>
      </c>
      <c r="AS14" s="48" t="str">
        <f ca="1">IF(AS9&gt;WEEKNUM(TODAY())," ",IF(AND(AS10="x",SUM($AC13:AS$13)&gt;$AC$11),W9-(SUM($AC13:AR13)/SUM($AC11:$BG11)),IF(SUM($AC13:AS$13)&gt;=$AC$11," ",W9-(SUM($AC13:AR13)/(SUM($AC11:$BG11))))))</f>
        <v xml:space="preserve"> </v>
      </c>
      <c r="AT14" s="48" t="str">
        <f ca="1">IF(AT9&gt;WEEKNUM(TODAY())," ",IF(AND(AT10="x",SUM($AC13:AT$13)&gt;$AC$11),X9-(SUM($AC13:AS13)/SUM($AC11:$BG11)),IF(SUM($AC13:AT$13)&gt;=$AC$11," ",X9-(SUM($AC13:AS13)/(SUM($AC11:$BG11))))))</f>
        <v xml:space="preserve"> </v>
      </c>
      <c r="AU14" s="48" t="str">
        <f ca="1">IF(AU9&gt;WEEKNUM(TODAY())," ",IF(AND(AU10="x",SUM($AC13:AU$13)&gt;$AC$11),Y9-(SUM($AC13:AT13)/SUM($AC11:$BG11)),IF(SUM($AC13:AU$13)&gt;=$AC$11," ",Y9-(SUM($AC13:AT13)/(SUM($AC11:$BG11))))))</f>
        <v xml:space="preserve"> </v>
      </c>
      <c r="AV14" s="48" t="str">
        <f ca="1">IF(AV9&gt;WEEKNUM(TODAY())," ",IF(AND(AV10="x",SUM($AC13:AV$13)&gt;$AC$11),Z9-(SUM($AC13:AU13)/SUM($AC11:$BG11)),IF(SUM($AC13:AV$13)&gt;=$AC$11," ",Z9-(SUM($AC13:AU13)/(SUM($AC11:$BG11))))))</f>
        <v xml:space="preserve"> </v>
      </c>
      <c r="AW14" s="48" t="str">
        <f ca="1">IF(AW9&gt;WEEKNUM(TODAY())," ",IF(AND(AW10="x",SUM($AC13:AW$13)&gt;$AC$11),AA9-(SUM($AC13:AV13)/SUM($AC11:$BG11)),IF(SUM($AC13:AW$13)&gt;=$AC$11," ",AA9-(SUM($AC13:AV13)/(SUM($AC11:$BG11))))))</f>
        <v xml:space="preserve"> </v>
      </c>
      <c r="AX14" s="48" t="str">
        <f ca="1">IF(AX9&gt;WEEKNUM(TODAY())," ",IF(AND(AX10="x",SUM($AC13:AX$13)&gt;$AC$11),AB9-(SUM($AC13:AW13)/SUM($AC11:$BG11)),IF(SUM($AC13:AX$13)&gt;=$AC$11," ",AB9-(SUM($AC13:AW13)/(SUM($AC11:$BG11))))))</f>
        <v xml:space="preserve"> </v>
      </c>
      <c r="AY14" s="48" t="str">
        <f ca="1">IF(AY9&gt;WEEKNUM(TODAY())," ",IF(AND(AY10="x",SUM($AC13:AY$13)&gt;$AC$11),AC9-(SUM($AC13:AX13)/SUM($AC11:$BG11)),IF(SUM($AC13:AY$13)&gt;=$AC$11," ",AC9-(SUM($AC13:AX13)/(SUM($AC11:$BG11))))))</f>
        <v xml:space="preserve"> </v>
      </c>
      <c r="AZ14" s="48" t="str">
        <f ca="1">IF(AZ9&gt;WEEKNUM(TODAY())," ",IF(AND(AZ10="x",SUM($AC13:AZ$13)&gt;$AC$11),AD9-(SUM($AC13:AY13)/SUM($AC11:$BG11)),IF(SUM($AC13:AZ$13)&gt;=$AC$11," ",AD9-(SUM($AC13:AY13)/(SUM($AC11:$BG11))))))</f>
        <v xml:space="preserve"> </v>
      </c>
      <c r="BA14" s="48" t="str">
        <f ca="1">IF(BA9&gt;WEEKNUM(TODAY())," ",IF(AND(BA10="x",SUM($AC13:BA$13)&gt;$AC$11),AE9-(SUM($AC13:AZ13)/SUM($AC11:$BG11)),IF(SUM($AC13:BA$13)&gt;=$AC$11," ",AE9-(SUM($AC13:AZ13)/(SUM($AC11:$BG11))))))</f>
        <v xml:space="preserve"> </v>
      </c>
      <c r="BB14" s="48" t="str">
        <f ca="1">IF(BB9&gt;WEEKNUM(TODAY())," ",IF(AND(BB10="x",SUM($AC13:BB$13)&gt;$AC$11),AF9-(SUM($AC13:BA13)/SUM($AC11:$BG11)),IF(SUM($AC13:BB$13)&gt;=$AC$11," ",AF9-(SUM($AC13:BA13)/(SUM($AC11:$BG11))))))</f>
        <v xml:space="preserve"> </v>
      </c>
      <c r="BC14" s="48" t="str">
        <f ca="1">IF(BC9&gt;WEEKNUM(TODAY())," ",IF(AND(BC10="x",SUM($AC13:BC$13)&gt;$AC$11),AG9-(SUM($AC13:BB13)/SUM($AC11:$BG11)),IF(SUM($AC13:BC$13)&gt;=$AC$11," ",AG9-(SUM($AC13:BB13)/(SUM($AC11:$BG11))))))</f>
        <v xml:space="preserve"> </v>
      </c>
      <c r="BD14" s="48" t="str">
        <f ca="1">IF(BD9&gt;WEEKNUM(TODAY())," ",IF(AND(BD10="x",SUM($AC13:BD$13)&gt;$AC$11),AH9-(SUM($AC13:BC13)/SUM($AC11:$BG11)),IF(SUM($AC13:BD$13)&gt;=$AC$11," ",AH9-(SUM($AC13:BC13)/(SUM($AC11:$BG11))))))</f>
        <v xml:space="preserve"> </v>
      </c>
      <c r="BE14" s="48" t="str">
        <f ca="1">IF(BE9&gt;WEEKNUM(TODAY())," ",IF(AND(BE10="x",SUM($AC13:BE$13)&gt;$AC$11),AI9-(SUM($AC13:BD13)/SUM($AC11:$BG11)),IF(SUM($AC13:BE$13)&gt;=$AC$11," ",AI9-(SUM($AC13:BD13)/(SUM($AC11:$BG11))))))</f>
        <v xml:space="preserve"> </v>
      </c>
      <c r="BF14" s="48" t="str">
        <f ca="1">IF(BF9&gt;WEEKNUM(TODAY())," ",IF(AND(BF10="x",SUM($AC13:BF$13)&gt;$AC$11),AJ9-(SUM($AC13:BE13)/SUM($AC11:$BG11)),IF(SUM($AC13:BF$13)&gt;=$AC$11," ",AJ9-(SUM($AC13:BE13)/(SUM($AC11:$BG11))))))</f>
        <v xml:space="preserve"> </v>
      </c>
      <c r="BG14" s="48" t="str">
        <f ca="1">IF(BG9&gt;WEEKNUM(TODAY())," ",IF(AND(BG10="x",SUM($AC13:BG$13)&gt;$AC$11),AK9-(SUM($AC13:BF13)/SUM($AC11:$BG11)),IF(SUM($AC13:BG$13)&gt;=$AC$11," ",AK9-(SUM($AC13:BF13)/(SUM($AC11:$BG11))))))</f>
        <v xml:space="preserve"> </v>
      </c>
    </row>
    <row r="15" spans="1:60" ht="16.2" thickBot="1" x14ac:dyDescent="0.35">
      <c r="B15" s="69"/>
      <c r="C15" s="79"/>
      <c r="D15" s="84"/>
      <c r="E15" s="57"/>
      <c r="F15" s="117"/>
      <c r="H15" s="49" t="str">
        <f>IF(H11= " ", " ",IF(H13&gt;SUM($H11:$BG11), " N/A", IF(SUM($H13:$BG13)=SUM($H11:BG11), " ", IF(H13=SUM($H11:BG11), " ", "x"))))</f>
        <v>x</v>
      </c>
      <c r="I15" s="50" t="str">
        <f>IF(SUM($H13:I13) &gt; SUM($H11:I11),  " N/A", IF(SUM($H13:$BG13) = SUM($H11:$BH11),    " ",IF(I13 = SUM($H11:$BH11),  " ",   "x")))</f>
        <v>x</v>
      </c>
      <c r="J15" s="50" t="str">
        <f>IF(SUM($H13:J13) &gt; SUM($H11:J11),  " N/A", IF(SUM($H13:$BG13) = SUM($H11:$BH11),    " ",IF(J13 = SUM($H11:$BH11),  " ",   "x")))</f>
        <v>x</v>
      </c>
      <c r="K15" s="50" t="str">
        <f>IF(SUM($H13:K13) &gt; SUM($H11:K11),  " N/A", IF(SUM($H13:$BG13) = SUM($H11:$BH11),    " ",IF(K13 = SUM($H11:$BH11),  " ",   "x")))</f>
        <v>x</v>
      </c>
      <c r="L15" s="50" t="str">
        <f>IF(SUM($H13:L13) &gt; SUM($H11:L11),  " N/A", IF(SUM($H13:$BG13) = SUM($H11:$BH11),    " ",IF(L13 = SUM($H11:$BH11),  " ",   "x")))</f>
        <v>x</v>
      </c>
      <c r="M15" s="50" t="str">
        <f>IF(SUM($H13:M13) &gt; SUM($H11:M11),  " N/A", IF(SUM($H13:$BG13) = SUM($H11:$BH11),    " ",IF(M13 = SUM($H11:$BH11),  " ",   "x")))</f>
        <v>x</v>
      </c>
      <c r="N15" s="50" t="str">
        <f>IF(SUM($H13:N13) &gt; SUM($H11:N11),  " N/A", IF(SUM($H13:$BG13) = SUM($H11:$BH11),    " ",IF(N13 = SUM($H11:$BH11),  " ",   "x")))</f>
        <v>x</v>
      </c>
      <c r="O15" s="50" t="str">
        <f>IF(SUM($H13:O13) &gt; SUM($H11:O11),  " N/A", IF(SUM($H13:$BG13) = SUM($H11:$BH11),    " ",IF(O13 = SUM($H11:$BH11),  " ",   "x")))</f>
        <v>x</v>
      </c>
      <c r="P15" s="50" t="str">
        <f>IF(SUM($H13:P13) &gt; SUM($H11:P11),  " N/A", IF(SUM($H13:$BG13) = SUM($H11:$BH11),    " ",IF(P13 = SUM($H11:$BH11),  " ",   "x")))</f>
        <v>x</v>
      </c>
      <c r="Q15" s="50" t="str">
        <f>IF(SUM($H13:Q13) &gt; SUM($H11:Q11),  " N/A", IF(SUM($H13:$BG13) = SUM($H11:$BH11),    " ",IF(Q13 = SUM($H11:$BH11),  " ",   "x")))</f>
        <v>x</v>
      </c>
      <c r="R15" s="50" t="str">
        <f>IF(SUM($H13:R13) &gt; SUM($H11:R11),  " N/A", IF(SUM($H13:$BG13) = SUM($H11:$BH11),    " ",IF(R13 = SUM($H11:$BH11),  " ",   "x")))</f>
        <v>x</v>
      </c>
      <c r="S15" s="50" t="str">
        <f>IF(SUM($H13:S13) &gt; SUM($H11:S11),  " N/A", IF(SUM($H13:$BG13) = SUM($H11:$BH11),    " ",IF(S13 = SUM($H11:$BH11),  " ",   "x")))</f>
        <v>x</v>
      </c>
      <c r="T15" s="50" t="str">
        <f>IF(SUM($H13:T13) &gt; SUM($H11:T11),  " N/A", IF(SUM($H13:$BG13) = SUM($H11:$BH11),    " ",IF(T13 = SUM($H11:$BH11),  " ",   "x")))</f>
        <v>x</v>
      </c>
      <c r="U15" s="50" t="str">
        <f>IF(SUM($H13:U13) &gt; SUM($H11:U11),  " N/A", IF(SUM($H13:$BG13) = SUM($H11:$BH11),    " ",IF(U13 = SUM($H11:$BH11),  " ",   "x")))</f>
        <v>x</v>
      </c>
      <c r="V15" s="50" t="str">
        <f>IF(SUM($H13:V13) &gt; SUM($H11:V11),  " N/A", IF(SUM($H13:$BG13) = SUM($H11:$BH11),    " ",IF(V13 = SUM($H11:$BH11),  " ",   "x")))</f>
        <v>x</v>
      </c>
      <c r="W15" s="50" t="str">
        <f>IF(SUM($H13:W13) &gt; SUM($H11:W11),  " N/A", IF(SUM($H13:$BG13) = SUM($H11:$BH11),    " ",IF(W13 = SUM($H11:$BH11),  " ",   "x")))</f>
        <v>x</v>
      </c>
      <c r="X15" s="50" t="str">
        <f>IF(SUM($H13:X13) &gt; SUM($H11:X11),  " N/A", IF(SUM($H13:$BG13) = SUM($H11:$BH11),    " ",IF(X13 = SUM($H11:$BH11),  " ",   "x")))</f>
        <v>x</v>
      </c>
      <c r="Y15" s="50" t="str">
        <f>IF(SUM($H13:Y13) &gt; SUM($H11:Y11),  " N/A", IF(SUM($H13:$BG13) = SUM($H11:$BH11),    " ",IF(Y13 = SUM($H11:$BH11),  " ",   "x")))</f>
        <v>x</v>
      </c>
      <c r="Z15" s="50" t="str">
        <f>IF(SUM($H13:Z13) &gt; SUM($H11:Z11),  " N/A", IF(SUM($H13:$BG13) = SUM($H11:$BH11),    " ",IF(Z13 = SUM($H11:$BH11),  " ",   "x")))</f>
        <v>x</v>
      </c>
      <c r="AA15" s="50" t="str">
        <f>IF(SUM($H13:AA13) &gt; SUM($H11:AA11),  " N/A", IF(SUM($H13:$BG13) = SUM($H11:$BH11),    " ",IF(AA13 = SUM($H11:$BH11),  " ",   "x")))</f>
        <v>x</v>
      </c>
      <c r="AB15" s="50" t="str">
        <f>IF(SUM($H13:AB13) &gt; SUM($H11:AB11),  " N/A", IF(SUM($H13:$BG13) = SUM($H11:$BH11),    " ",IF(AB13 = SUM($H11:$BH11),  " ",   "x")))</f>
        <v>x</v>
      </c>
      <c r="AC15" s="50" t="str">
        <f>IF(SUM($H13:AC13) &gt; SUM($H11:AC11),  " N/A", IF(SUM($H13:$BG13) = SUM($H11:$BH11),    " ",IF(AC13 = SUM($H11:$BH11),  " ",   "x")))</f>
        <v>x</v>
      </c>
      <c r="AD15" s="50" t="str">
        <f>IF(SUM($H13:AD13) &gt; SUM($H11:AD11),  " N/A", IF(SUM($H13:$BG13) = SUM($H11:$BH11),    " ",IF(AD13 = SUM($H11:$BH11),  " ",   "x")))</f>
        <v>x</v>
      </c>
      <c r="AE15" s="50" t="str">
        <f>IF(SUM($H13:AE13) &gt; SUM($H11:AE11),  " N/A", IF(SUM($H13:$BG13) = SUM($H11:$BH11),    " ",IF(AE13 = SUM($H11:$BH11),  " ",   "x")))</f>
        <v>x</v>
      </c>
      <c r="AF15" s="50" t="str">
        <f>IF(SUM($H13:AF13) &gt; SUM($H11:AF11),  " N/A", IF(SUM($H13:$BG13) = SUM($H11:$BH11),    " ",IF(AF13 = SUM($H11:$BH11),  " ",   "x")))</f>
        <v>x</v>
      </c>
      <c r="AG15" s="50" t="str">
        <f>IF(SUM($H13:AG13) &gt; SUM($H11:AG11),  " N/A", IF(SUM($H13:$BG13) = SUM($H11:$BH11),    " ",IF(AG13 = SUM($H11:$BH11),  " ",   "x")))</f>
        <v>x</v>
      </c>
      <c r="AH15" s="50" t="str">
        <f>IF(SUM($H13:AH13) &gt; SUM($H11:AH11),  " N/A", IF(SUM($H13:$BG13) = SUM($H11:$BH11),    " ",IF(AH13 = SUM($H11:$BH11),  " ",   "x")))</f>
        <v>x</v>
      </c>
      <c r="AI15" s="50" t="str">
        <f>IF(SUM($H13:AI13) &gt; SUM($H11:AI11),  " N/A", IF(SUM($H13:$BG13) = SUM($H11:$BH11),    " ",IF(AI13 = SUM($H11:$BH11),  " ",   "x")))</f>
        <v>x</v>
      </c>
      <c r="AJ15" s="50" t="str">
        <f>IF(SUM($H13:AJ13) &gt; SUM($H11:AJ11),  " N/A", IF(SUM($H13:$BG13) = SUM($H11:$BH11),    " ",IF(AJ13 = SUM($H11:$BH11),  " ",   "x")))</f>
        <v>x</v>
      </c>
      <c r="AK15" s="50" t="str">
        <f>IF(SUM($H13:AK13) &gt; SUM($H11:AK11),  " N/A", IF(SUM($H13:$BG13) = SUM($H11:$BH11),    " ",IF(AK13 = SUM($H11:$BH11),  " ",   "x")))</f>
        <v>x</v>
      </c>
      <c r="AL15" s="50" t="str">
        <f>IF(SUM($H13:AL13) &gt; SUM($H11:AL11),  " N/A", IF(SUM($H13:$BG13) = SUM($H11:$BH11),    " ",IF(AL13 = SUM($H11:$BH11),  " ",   "x")))</f>
        <v>x</v>
      </c>
      <c r="AM15" s="50" t="str">
        <f>IF(SUM($H13:AM13) &gt; SUM($H11:AM11),  " N/A", IF(SUM($H13:$BG13) = SUM($H11:$BH11),    " ",IF(AM13 = SUM($H11:$BH11),  " ",   "x")))</f>
        <v>x</v>
      </c>
      <c r="AN15" s="50" t="str">
        <f>IF(SUM($H13:AN13) &gt; SUM($H11:AN11),  " N/A", IF(SUM($H13:$BG13) = SUM($H11:$BH11),    " ",IF(AN13 = SUM($H11:$BH11),  " ",   "x")))</f>
        <v>x</v>
      </c>
      <c r="AO15" s="50" t="str">
        <f>IF(SUM($H13:AO13) &gt; SUM($H11:AO11),  " N/A", IF(SUM($H13:$BG13) = SUM($H11:$BH11),    " ",IF(AO13 = SUM($H11:$BH11),  " ",   "x")))</f>
        <v>x</v>
      </c>
      <c r="AP15" s="50" t="str">
        <f>IF(SUM($H13:AP13) &gt; SUM($H11:AP11),  " N/A", IF(SUM($H13:$BG13) = SUM($H11:$BH11),    " ",IF(AP13 = SUM($H11:$BH11),  " ",   "x")))</f>
        <v>x</v>
      </c>
      <c r="AQ15" s="50" t="str">
        <f>IF(SUM($H13:AQ13) &gt; SUM($H11:AQ11),  " N/A", IF(SUM($H13:$BG13) = SUM($H11:$BH11),    " ",IF(AQ13 = SUM($H11:$BH11),  " ",   "x")))</f>
        <v>x</v>
      </c>
      <c r="AR15" s="50" t="str">
        <f>IF(SUM($H13:AR13) &gt; SUM($H11:AR11),  " N/A", IF(SUM($H13:$BG13) = SUM($H11:$BH11),    " ",IF(AR13 = SUM($H11:$BH11),  " ",   "x")))</f>
        <v>x</v>
      </c>
      <c r="AS15" s="50" t="str">
        <f>IF(SUM($H13:AS13) &gt; SUM($H11:AS11),  " N/A", IF(SUM($H13:$BG13) = SUM($H11:$BH11),    " ",IF(AS13 = SUM($H11:$BH11),  " ",   "x")))</f>
        <v>x</v>
      </c>
      <c r="AT15" s="50" t="str">
        <f>IF(SUM($H13:AT13) &gt; SUM($H11:AT11),  " N/A", IF(SUM($H13:$BG13) = SUM($H11:$BH11),    " ",IF(AT13 = SUM($H11:$BH11),  " ",   "x")))</f>
        <v>x</v>
      </c>
      <c r="AU15" s="50" t="str">
        <f>IF(SUM($H13:AU13) &gt; SUM($H11:AU11),  " N/A", IF(SUM($H13:$BG13) = SUM($H11:$BH11),    " ",IF(AU13 = SUM($H11:$BH11),  " ",   "x")))</f>
        <v>x</v>
      </c>
      <c r="AV15" s="50" t="str">
        <f>IF(SUM($H13:AV13) &gt; SUM($H11:AV11),  " N/A", IF(SUM($H13:$BG13) = SUM($H11:$BH11),    " ",IF(AV13 = SUM($H11:$BH11),  " ",   "x")))</f>
        <v>x</v>
      </c>
      <c r="AW15" s="50" t="str">
        <f>IF(SUM($H13:AW13) &gt; SUM($H11:AW11),  " N/A", IF(SUM($H13:$BG13) = SUM($H11:$BH11),    " ",IF(AW13 = SUM($H11:$BH11),  " ",   "x")))</f>
        <v>x</v>
      </c>
      <c r="AX15" s="50" t="str">
        <f>IF(SUM($H13:AX13) &gt; SUM($H11:AX11),  " N/A", IF(SUM($H13:$BG13) = SUM($H11:$BH11),    " ",IF(AX13 = SUM($H11:$BH11),  " ",   "x")))</f>
        <v>x</v>
      </c>
      <c r="AY15" s="50" t="str">
        <f>IF(SUM($H13:AY13) &gt; SUM($H11:AY11),  " N/A", IF(SUM($H13:$BG13) = SUM($H11:$BH11),    " ",IF(AY13 = SUM($H11:$BH11),  " ",   "x")))</f>
        <v>x</v>
      </c>
      <c r="AZ15" s="50" t="str">
        <f>IF(SUM($H13:AZ13) &gt; SUM($H11:AZ11),  " N/A", IF(SUM($H13:$BG13) = SUM($H11:$BH11),    " ",IF(AZ13 = SUM($H11:$BH11),  " ",   "x")))</f>
        <v>x</v>
      </c>
      <c r="BA15" s="50" t="str">
        <f>IF(SUM($H13:BA13) &gt; SUM($H11:BA11),  " N/A", IF(SUM($H13:$BG13) = SUM($H11:$BH11),    " ",IF(BA13 = SUM($H11:$BH11),  " ",   "x")))</f>
        <v>x</v>
      </c>
      <c r="BB15" s="50" t="str">
        <f>IF(SUM($H13:BB13) &gt; SUM($H11:BB11),  " N/A", IF(SUM($H13:$BG13) = SUM($H11:$BH11),    " ",IF(BB13 = SUM($H11:$BH11),  " ",   "x")))</f>
        <v>x</v>
      </c>
      <c r="BC15" s="50" t="str">
        <f>IF(SUM($H13:BC13) &gt; SUM($H11:BC11),  " N/A", IF(SUM($H13:$BG13) = SUM($H11:$BH11),    " ",IF(BC13 = SUM($H11:$BH11),  " ",   "x")))</f>
        <v>x</v>
      </c>
      <c r="BD15" s="50" t="str">
        <f>IF(SUM($H13:BD13) &gt; SUM($H11:BD11),  " N/A", IF(SUM($H13:$BG13) = SUM($H11:$BH11),    " ",IF(BD13 = SUM($H11:$BH11),  " ",   "x")))</f>
        <v>x</v>
      </c>
      <c r="BE15" s="50" t="str">
        <f>IF(SUM($H13:BE13) &gt; SUM($H11:BE11),  " N/A", IF(SUM($H13:$BG13) = SUM($H11:$BH11),    " ",IF(BE13 = SUM($H11:$BH11),  " ",   "x")))</f>
        <v>x</v>
      </c>
      <c r="BF15" s="50" t="str">
        <f>IF(SUM($H13:BF13) &gt; SUM($H11:BF11),  " N/A", IF(SUM($H13:$BG13) = SUM($H11:$BH11),    " ",IF(BF13 = SUM($H11:$BH11),  " ",   "x")))</f>
        <v>x</v>
      </c>
      <c r="BG15" s="50" t="str">
        <f>IF(SUM($H13:BG13) &gt; SUM($H11:BG11),  " N/A", IF(SUM($H13:$BG13) = SUM($H11:$BH11),    " ",IF(BG13 = SUM($H11:$BH11),  " ",   "x")))</f>
        <v>x</v>
      </c>
      <c r="BH15" s="21"/>
    </row>
    <row r="16" spans="1:60" ht="13.8" customHeight="1" x14ac:dyDescent="0.3">
      <c r="B16" s="67"/>
      <c r="C16" s="77"/>
      <c r="D16" s="82" t="s">
        <v>249</v>
      </c>
      <c r="E16" s="54">
        <f>SUM(H16:BG16)</f>
        <v>16</v>
      </c>
      <c r="F16" s="115">
        <f>Gant_24!$E16-E18</f>
        <v>0</v>
      </c>
      <c r="H16" s="41"/>
      <c r="I16" s="42"/>
      <c r="J16" s="42"/>
      <c r="K16" s="42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>
        <v>16</v>
      </c>
      <c r="AD16" s="42"/>
      <c r="AE16" s="51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1"/>
      <c r="BC16" s="51"/>
      <c r="BD16" s="51"/>
      <c r="BE16" s="51"/>
      <c r="BF16" s="51"/>
      <c r="BG16" s="51"/>
      <c r="BH16" s="21"/>
    </row>
    <row r="17" spans="2:60" ht="16.2" customHeight="1" x14ac:dyDescent="0.3">
      <c r="B17" s="68"/>
      <c r="C17" s="78"/>
      <c r="D17" s="83" t="s">
        <v>261</v>
      </c>
      <c r="E17" s="55">
        <f>SUM(H17:BG17)</f>
        <v>0</v>
      </c>
      <c r="F17" s="116"/>
      <c r="H17" s="43"/>
      <c r="I17" s="44"/>
      <c r="J17" s="44"/>
      <c r="K17" s="44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44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21"/>
    </row>
    <row r="18" spans="2:60" ht="15.6" x14ac:dyDescent="0.3">
      <c r="B18" s="68" t="s">
        <v>33</v>
      </c>
      <c r="C18" s="78" t="s">
        <v>34</v>
      </c>
      <c r="D18" s="83" t="s">
        <v>241</v>
      </c>
      <c r="E18" s="55">
        <f>SUM(H18:BG18)</f>
        <v>16</v>
      </c>
      <c r="F18" s="116"/>
      <c r="H18" s="45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>
        <v>8</v>
      </c>
      <c r="AH18" s="46"/>
      <c r="AI18" s="46"/>
      <c r="AJ18" s="46"/>
      <c r="AK18" s="46">
        <v>8</v>
      </c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21"/>
    </row>
    <row r="19" spans="2:60" ht="15.6" x14ac:dyDescent="0.3">
      <c r="B19" s="68"/>
      <c r="C19" s="78"/>
      <c r="D19" s="83" t="s">
        <v>278</v>
      </c>
      <c r="E19" s="56">
        <f ca="1">MAX(H19:BG19)</f>
        <v>0</v>
      </c>
      <c r="F19" s="116"/>
      <c r="H19" s="47"/>
      <c r="I19" s="48"/>
      <c r="J19" s="48"/>
      <c r="K19" s="48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 t="str">
        <f>IF(SUM(H16:BG16)=AC18," 0 "," ")</f>
        <v xml:space="preserve"> </v>
      </c>
      <c r="AD19" s="97" t="str">
        <f ca="1">IF(AD9&gt;WEEKNUM(TODAY())," ",IF(AND(AD10="x",SUM($AC$18:AD18)&gt;$AC$16),H9-(SUM($AC18:AC18)/SUM($AC16:$BG16)),IF(SUM($AC$18:AD18)&gt;=$AC$16," ",H9-(SUM($AC18:AC18)/(SUM($AC16:$BG16))))))</f>
        <v xml:space="preserve"> </v>
      </c>
      <c r="AE19" s="48" t="str">
        <f ca="1">IF(AE9&gt;WEEKNUM(TODAY())," ",IF(AND(AE10="x",SUM($AC$18:AE18)&gt;$AC$16),I9-(SUM($AC18:AD18)/SUM($AC16:$BG16)),IF(SUM($AC$18:AE18)&gt;=$AC$16," ",I9-(SUM($AC18:AD18)/(SUM($AC16:$BG16))))))</f>
        <v xml:space="preserve"> </v>
      </c>
      <c r="AF19" s="48" t="str">
        <f ca="1">IF(AF9&gt;WEEKNUM(TODAY())," ",IF(AND(AF10="x",SUM($AC$18:AF18)&gt;$AC$16),J9-(SUM($AC18:AE18)/SUM($AC16:$BG16)),IF(SUM($AC$18:AF18)&gt;=$AC$16," ",J9-(SUM($AC18:AE18)/(SUM($AC16:$BG16))))))</f>
        <v xml:space="preserve"> </v>
      </c>
      <c r="AG19" s="48" t="str">
        <f ca="1">IF(AG9&gt;WEEKNUM(TODAY())," ",IF(AND(AG10="x",SUM($AC$18:AG18)&gt;$AC$16),K9-(SUM($AC18:AF18)/SUM($AC16:$BG16)),IF(SUM($AC$18:AG18)&gt;=$AC$16," ",K9-(SUM($AC18:AF18)/(SUM($AC16:$BG16))))))</f>
        <v xml:space="preserve"> </v>
      </c>
      <c r="AH19" s="48" t="str">
        <f ca="1">IF(AH9&gt;WEEKNUM(TODAY())," ",IF(AND(AH10="x",SUM($AC$18:AH18)&gt;$AC$16),L9-(SUM($AC18:AG18)/SUM($AC16:$BG16)),IF(SUM($AC$18:AH18)&gt;=$AC$16," ",L9-(SUM($AC18:AG18)/(SUM($AC16:$BG16))))))</f>
        <v xml:space="preserve"> </v>
      </c>
      <c r="AI19" s="48" t="str">
        <f ca="1">IF(AI9&gt;WEEKNUM(TODAY())," ",IF(AND(AI10="x",SUM($AC$18:AI18)&gt;$AC$16),M9-(SUM($AC18:AH18)/SUM($AC16:$BG16)),IF(SUM($AC$18:AI18)&gt;=$AC$16," ",M9-(SUM($AC18:AH18)/(SUM($AC16:$BG16))))))</f>
        <v xml:space="preserve"> </v>
      </c>
      <c r="AJ19" s="48" t="str">
        <f ca="1">IF(AJ9&gt;WEEKNUM(TODAY())," ",IF(AND(AJ10="x",SUM($AC$18:AJ18)&gt;$AC$16),N9-(SUM($AC18:AI18)/SUM($AC16:$BG16)),IF(SUM($AC$18:AJ18)&gt;=$AC$16," ",N9-(SUM($AC18:AI18)/(SUM($AC16:$BG16))))))</f>
        <v xml:space="preserve"> </v>
      </c>
      <c r="AK19" s="48" t="str">
        <f ca="1">IF(AK9&gt;WEEKNUM(TODAY())," ",IF(AND(AK10="x",SUM($AC$18:AK18)&gt;$AC$16),O9-(SUM($AC18:AJ18)/SUM($AC16:$BG16)),IF(SUM($AC$18:AK18)&gt;=$AC$16," ",O9-(SUM($AC18:AJ18)/(SUM($AC16:$BG16))))))</f>
        <v xml:space="preserve"> </v>
      </c>
      <c r="AL19" s="48" t="str">
        <f ca="1">IF(AL9&gt;WEEKNUM(TODAY())," ",IF(AND(AL10="x",SUM($AC$18:AL18)&gt;$AC$16),P9-(SUM($AC18:AK18)/SUM($AC16:$BG16)),IF(SUM($AC$18:AL18)&gt;=$AC$16," ",P9-(SUM($AC18:AK18)/(SUM($AC16:$BG16))))))</f>
        <v xml:space="preserve"> </v>
      </c>
      <c r="AM19" s="48" t="str">
        <f ca="1">IF(AM9&gt;WEEKNUM(TODAY())," ",IF(AND(AM10="x",SUM($AC$18:AM18)&gt;$AC$16),Q9-(SUM($AC18:AL18)/SUM($AC16:$BG16)),IF(SUM($AC$18:AM18)&gt;=$AC$16," ",Q9-(SUM($AC18:AL18)/(SUM($AC16:$BG16))))))</f>
        <v xml:space="preserve"> </v>
      </c>
      <c r="AN19" s="48" t="str">
        <f ca="1">IF(AN9&gt;WEEKNUM(TODAY())," ",IF(AND(AN10="x",SUM($AC$18:AN18)&gt;$AC$16),R9-(SUM($AC18:AM18)/SUM($AC16:$BG16)),IF(SUM($AC$18:AN18)&gt;=$AC$16," ",R9-(SUM($AC18:AM18)/(SUM($AC16:$BG16))))))</f>
        <v xml:space="preserve"> </v>
      </c>
      <c r="AO19" s="48" t="str">
        <f ca="1">IF(AO9&gt;WEEKNUM(TODAY())," ",IF(AND(AO10="x",SUM($AC$18:AO18)&gt;$AC$16),S9-(SUM($AC18:AN18)/SUM($AC16:$BG16)),IF(SUM($AC$18:AO18)&gt;=$AC$16," ",S9-(SUM($AC18:AN18)/(SUM($AC16:$BG16))))))</f>
        <v xml:space="preserve"> </v>
      </c>
      <c r="AP19" s="48" t="str">
        <f ca="1">IF(AP9&gt;WEEKNUM(TODAY())," ",IF(AND(AP10="x",SUM($AC$18:AP18)&gt;$AC$16),T9-(SUM($AC18:AO18)/SUM($AC16:$BG16)),IF(SUM($AC$18:AP18)&gt;=$AC$16," ",T9-(SUM($AC18:AO18)/(SUM($AC16:$BG16))))))</f>
        <v xml:space="preserve"> </v>
      </c>
      <c r="AQ19" s="48" t="str">
        <f ca="1">IF(AQ9&gt;WEEKNUM(TODAY())," ",IF(AND(AQ10="x",SUM($AC$18:AQ18)&gt;$AC$16),U9-(SUM($AC18:AP18)/SUM($AC16:$BG16)),IF(SUM($AC$18:AQ18)&gt;=$AC$16," ",U9-(SUM($AC18:AP18)/(SUM($AC16:$BG16))))))</f>
        <v xml:space="preserve"> </v>
      </c>
      <c r="AR19" s="48" t="str">
        <f ca="1">IF(AR9&gt;WEEKNUM(TODAY())," ",IF(AND(AR10="x",SUM($AC$18:AR18)&gt;$AC$16),V9-(SUM($AC18:AQ18)/SUM($AC16:$BG16)),IF(SUM($AC$18:AR18)&gt;=$AC$16," ",V9-(SUM($AC18:AQ18)/(SUM($AC16:$BG16))))))</f>
        <v xml:space="preserve"> </v>
      </c>
      <c r="AS19" s="48" t="str">
        <f ca="1">IF(AS9&gt;WEEKNUM(TODAY())," ",IF(AND(AS10="x",SUM($AC$18:AS18)&gt;$AC$16),W9-(SUM($AC18:AR18)/SUM($AC16:$BG16)),IF(SUM($AC$18:AS18)&gt;=$AC$16," ",W9-(SUM($AC18:AR18)/(SUM($AC16:$BG16))))))</f>
        <v xml:space="preserve"> </v>
      </c>
      <c r="AT19" s="48" t="str">
        <f ca="1">IF(AT9&gt;WEEKNUM(TODAY())," ",IF(AND(AT10="x",SUM($AC$18:AT18)&gt;$AC$16),X9-(SUM($AC18:AS18)/SUM($AC16:$BG16)),IF(SUM($AC$18:AT18)&gt;=$AC$16," ",X9-(SUM($AC18:AS18)/(SUM($AC16:$BG16))))))</f>
        <v xml:space="preserve"> </v>
      </c>
      <c r="AU19" s="48" t="str">
        <f ca="1">IF(AU9&gt;WEEKNUM(TODAY())," ",IF(AND(AU10="x",SUM($AC$18:AU18)&gt;$AC$16),Y9-(SUM($AC18:AT18)/SUM($AC16:$BG16)),IF(SUM($AC$18:AU18)&gt;=$AC$16," ",Y9-(SUM($AC18:AT18)/(SUM($AC16:$BG16))))))</f>
        <v xml:space="preserve"> </v>
      </c>
      <c r="AV19" s="48" t="str">
        <f ca="1">IF(AV9&gt;WEEKNUM(TODAY())," ",IF(AND(AV10="x",SUM($AC$18:AV18)&gt;$AC$16),Z9-(SUM($AC18:AU18)/SUM($AC16:$BG16)),IF(SUM($AC$18:AV18)&gt;=$AC$16," ",Z9-(SUM($AC18:AU18)/(SUM($AC16:$BG16))))))</f>
        <v xml:space="preserve"> </v>
      </c>
      <c r="AW19" s="48" t="str">
        <f ca="1">IF(AW9&gt;WEEKNUM(TODAY())," ",IF(AND(AW10="x",SUM($AC$18:AW18)&gt;$AC$16),AA9-(SUM($AC18:AV18)/SUM($AC16:$BG16)),IF(SUM($AC$18:AW18)&gt;=$AC$16," ",AA9-(SUM($AC18:AV18)/(SUM($AC16:$BG16))))))</f>
        <v xml:space="preserve"> </v>
      </c>
      <c r="AX19" s="48" t="str">
        <f ca="1">IF(AX9&gt;WEEKNUM(TODAY())," ",IF(AND(AX10="x",SUM($AC$18:AX18)&gt;$AC$16),AB9-(SUM($AC18:AW18)/SUM($AC16:$BG16)),IF(SUM($AC$18:AX18)&gt;=$AC$16," ",AB9-(SUM($AC18:AW18)/(SUM($AC16:$BG16))))))</f>
        <v xml:space="preserve"> </v>
      </c>
      <c r="AY19" s="48" t="str">
        <f ca="1">IF(AY9&gt;WEEKNUM(TODAY())," ",IF(AND(AY10="x",SUM($AC$18:AY18)&gt;$AC$16),AC9-(SUM($AC18:AX18)/SUM($AC16:$BG16)),IF(SUM($AC$18:AY18)&gt;=$AC$16," ",AC9-(SUM($AC18:AX18)/(SUM($AC16:$BG16))))))</f>
        <v xml:space="preserve"> </v>
      </c>
      <c r="AZ19" s="48" t="str">
        <f ca="1">IF(AZ9&gt;WEEKNUM(TODAY())," ",IF(AND(AZ10="x",SUM($AC$18:AZ18)&gt;$AC$16),AD9-(SUM($AC18:AY18)/SUM($AC16:$BG16)),IF(SUM($AC$18:AZ18)&gt;=$AC$16," ",AD9-(SUM($AC18:AY18)/(SUM($AC16:$BG16))))))</f>
        <v xml:space="preserve"> </v>
      </c>
      <c r="BA19" s="48" t="str">
        <f ca="1">IF(BA9&gt;WEEKNUM(TODAY())," ",IF(AND(BA10="x",SUM($AC$18:BA18)&gt;$AC$16),AE9-(SUM($AC18:AZ18)/SUM($AC16:$BG16)),IF(SUM($AC$18:BA18)&gt;=$AC$16," ",AE9-(SUM($AC18:AZ18)/(SUM($AC16:$BG16))))))</f>
        <v xml:space="preserve"> </v>
      </c>
      <c r="BB19" s="48" t="str">
        <f ca="1">IF(BB9&gt;WEEKNUM(TODAY())," ",IF(AND(BB10="x",SUM($AC$18:BB18)&gt;$AC$16),AF9-(SUM($AC18:BA18)/SUM($AC16:$BG16)),IF(SUM($AC$18:BB18)&gt;=$AC$16," ",AF9-(SUM($AC18:BA18)/(SUM($AC16:$BG16))))))</f>
        <v xml:space="preserve"> </v>
      </c>
      <c r="BC19" s="48" t="str">
        <f ca="1">IF(BC9&gt;WEEKNUM(TODAY())," ",IF(AND(BC10="x",SUM($AC$18:BC18)&gt;$AC$16),AG9-(SUM($AC18:BB18)/SUM($AC16:$BG16)),IF(SUM($AC$18:BC18)&gt;=$AC$16," ",AG9-(SUM($AC18:BB18)/(SUM($AC16:$BG16))))))</f>
        <v xml:space="preserve"> </v>
      </c>
      <c r="BD19" s="48" t="str">
        <f ca="1">IF(BD9&gt;WEEKNUM(TODAY())," ",IF(AND(BD10="x",SUM($AC$18:BD18)&gt;$AC$16),AH9-(SUM($AC18:BC18)/SUM($AC16:$BG16)),IF(SUM($AC$18:BD18)&gt;=$AC$16," ",AH9-(SUM($AC18:BC18)/(SUM($AC16:$BG16))))))</f>
        <v xml:space="preserve"> </v>
      </c>
      <c r="BE19" s="48" t="str">
        <f ca="1">IF(BE9&gt;WEEKNUM(TODAY())," ",IF(AND(BE10="x",SUM($AC$18:BE18)&gt;$AC$16),AI9-(SUM($AC18:BD18)/SUM($AC16:$BG16)),IF(SUM($AC$18:BE18)&gt;=$AC$16," ",AI9-(SUM($AC18:BD18)/(SUM($AC16:$BG16))))))</f>
        <v xml:space="preserve"> </v>
      </c>
      <c r="BF19" s="48" t="str">
        <f ca="1">IF(BF9&gt;WEEKNUM(TODAY())," ",IF(AND(BF10="x",SUM($AC$18:BF18)&gt;$AC$16),AJ9-(SUM($AC18:BE18)/SUM($AC16:$BG16)),IF(SUM($AC$18:BF18)&gt;=$AC$16," ",AJ9-(SUM($AC18:BE18)/(SUM($AC16:$BG16))))))</f>
        <v xml:space="preserve"> </v>
      </c>
      <c r="BG19" s="48" t="str">
        <f ca="1">IF(BG9&gt;WEEKNUM(TODAY())," ",IF(AND(BG10="x",SUM($AC$18:BG18)&gt;$AC$16),AK9-(SUM($AC18:BF18)/SUM($AC16:$BG16)),IF(SUM($AC$18:BG18)&gt;=$AC$16," ",AK9-(SUM($AC18:BF18)/(SUM($AC16:$BG16))))))</f>
        <v xml:space="preserve"> </v>
      </c>
      <c r="BH19" s="21"/>
    </row>
    <row r="20" spans="2:60" ht="16.2" thickBot="1" x14ac:dyDescent="0.35">
      <c r="B20" s="69"/>
      <c r="C20" s="79"/>
      <c r="D20" s="84"/>
      <c r="E20" s="57"/>
      <c r="F20" s="117"/>
      <c r="H20" s="49" t="str">
        <f>IF(H16= " ", " ",IF(H18&gt;SUM($H16:$BG16), " N/A", IF(SUM($H18:$BG18)=SUM($H16:BG16), " ", IF(H18=SUM($H16:BG16), " ", "x"))))</f>
        <v xml:space="preserve"> </v>
      </c>
      <c r="I20" s="50" t="str">
        <f>IF(SUM($H18:I18) &gt; SUM($H16:I16),  " N/A", IF(SUM($H18:$BG18) = SUM($H16:$BH16),    " ",IF(I18 = SUM($H16:$BH16),  " ",   "x")))</f>
        <v xml:space="preserve"> </v>
      </c>
      <c r="J20" s="50" t="str">
        <f>IF(SUM($H18:J18) &gt; SUM($H16:J16),  " N/A", IF(SUM($H18:$BG18) = SUM($H16:$BH16),    " ",IF(J18 = SUM($H16:$BH16),  " ",   "x")))</f>
        <v xml:space="preserve"> </v>
      </c>
      <c r="K20" s="50" t="str">
        <f>IF(SUM($H18:K18) &gt; SUM($H16:K16),  " N/A", IF(SUM($H18:$BG18) = SUM($H16:$BH16),    " ",IF(K18 = SUM($H16:$BH16),  " ",   "x")))</f>
        <v xml:space="preserve"> </v>
      </c>
      <c r="L20" s="44" t="str">
        <f>IF(L16= " ", " ",IF(L18&gt;SUM($H16:$BG16), " N/A", IF(SUM($H18:$BG18)=SUM($H16:BJ16), " ", IF(L18=SUM($H16:BJ16), " ", "x"))))</f>
        <v xml:space="preserve"> </v>
      </c>
      <c r="M20" s="44" t="str">
        <f>IF(M16= " ", " ",IF(M18&gt;SUM($H16:$BG16), " N/A", IF(SUM($H18:$BG18)=SUM($H16:BK16), " ", IF(M18=SUM($H16:BK16), " ", "x"))))</f>
        <v xml:space="preserve"> </v>
      </c>
      <c r="N20" s="44" t="str">
        <f>IF(N16= " ", " ",IF(N18&gt;SUM($H16:$BG16), " N/A", IF(SUM($H18:$BG18)=SUM($H16:BL16), " ", IF(N18=SUM($H16:BL16), " ", "x"))))</f>
        <v xml:space="preserve"> </v>
      </c>
      <c r="O20" s="44" t="str">
        <f>IF(O16= " ", " ",IF(O18&gt;SUM($H16:$BG16), " N/A", IF(SUM($H18:$BG18)=SUM($H16:BM16), " ", IF(O18=SUM($H16:BM16), " ", "x"))))</f>
        <v xml:space="preserve"> </v>
      </c>
      <c r="P20" s="44" t="str">
        <f>IF(P16= " ", " ",IF(P18&gt;SUM($H16:$BG16), " N/A", IF(SUM($H18:$BG18)=SUM($H16:BN16), " ", IF(P18=SUM($H16:BN16), " ", "x"))))</f>
        <v xml:space="preserve"> </v>
      </c>
      <c r="Q20" s="44" t="str">
        <f>IF(Q16= " ", " ",IF(Q18&gt;SUM($H16:$BG16), " N/A", IF(SUM($H18:$BG18)=SUM($H16:BO16), " ", IF(Q18=SUM($H16:BO16), " ", "x"))))</f>
        <v xml:space="preserve"> </v>
      </c>
      <c r="R20" s="44" t="str">
        <f>IF(R16= " ", " ",IF(R18&gt;SUM($H16:$BG16), " N/A", IF(SUM($H18:$BG18)=SUM($H16:BP16), " ", IF(R18=SUM($H16:BP16), " ", "x"))))</f>
        <v xml:space="preserve"> </v>
      </c>
      <c r="S20" s="44" t="str">
        <f>IF(S16= " ", " ",IF(S18&gt;SUM($H16:$BG16), " N/A", IF(SUM($H18:$BG18)=SUM($H16:BQ16), " ", IF(S18=SUM($H16:BQ16), " ", "x"))))</f>
        <v xml:space="preserve"> </v>
      </c>
      <c r="T20" s="44" t="str">
        <f>IF(T16= " ", " ",IF(T18&gt;SUM($H16:$BG16), " N/A", IF(SUM($H18:$BG18)=SUM($H16:BR16), " ", IF(T18=SUM($H16:BR16), " ", "x"))))</f>
        <v xml:space="preserve"> </v>
      </c>
      <c r="U20" s="44" t="str">
        <f>IF(U16= " ", " ",IF(U18&gt;SUM($H16:$BG16), " N/A", IF(SUM($H18:$BG18)=SUM($H16:BS16), " ", IF(U18=SUM($H16:BS16), " ", "x"))))</f>
        <v xml:space="preserve"> </v>
      </c>
      <c r="V20" s="44" t="str">
        <f>IF(V16= " ", " ",IF(V18&gt;SUM($H16:$BG16), " N/A", IF(SUM($H18:$BG18)=SUM($H16:BT16), " ", IF(V18=SUM($H16:BT16), " ", "x"))))</f>
        <v xml:space="preserve"> </v>
      </c>
      <c r="W20" s="44" t="str">
        <f>IF(W16= " ", " ",IF(W18&gt;SUM($H16:$BG16), " N/A", IF(SUM($H18:$BG18)=SUM($H16:BU16), " ", IF(W18=SUM($H16:BU16), " ", "x"))))</f>
        <v xml:space="preserve"> </v>
      </c>
      <c r="X20" s="44" t="str">
        <f>IF(X16= " ", " ",IF(X18&gt;SUM($H16:$BG16), " N/A", IF(SUM($H18:$BG18)=SUM($H16:BV16), " ", IF(X18=SUM($H16:BV16), " ", "x"))))</f>
        <v xml:space="preserve"> </v>
      </c>
      <c r="Y20" s="44" t="str">
        <f>IF(Y16= " ", " ",IF(Y18&gt;SUM($H16:$BG16), " N/A", IF(SUM($H18:$BG18)=SUM($H16:BW16), " ", IF(Y18=SUM($H16:BW16), " ", "x"))))</f>
        <v xml:space="preserve"> </v>
      </c>
      <c r="Z20" s="44" t="str">
        <f>IF(Z16= " ", " ",IF(Z18&gt;SUM($H16:$BG16), " N/A", IF(SUM($H18:$BG18)=SUM($H16:BX16), " ", IF(Z18=SUM($H16:BX16), " ", "x"))))</f>
        <v xml:space="preserve"> </v>
      </c>
      <c r="AA20" s="44" t="str">
        <f>IF(AA16= " ", " ",IF(AA18&gt;SUM($H16:$BG16), " N/A", IF(SUM($H18:$BG18)=SUM($H16:BY16), " ", IF(AA18=SUM($H16:BY16), " ", "x"))))</f>
        <v xml:space="preserve"> </v>
      </c>
      <c r="AB20" s="44" t="str">
        <f>IF(AB16= " ", " ",IF(AB18&gt;SUM($H16:$BG16), " N/A", IF(SUM($H18:$BG18)=SUM($H16:BZ16), " ", IF(AB18=SUM($H16:BZ16), " ", "x"))))</f>
        <v xml:space="preserve"> </v>
      </c>
      <c r="AC20" s="44" t="str">
        <f>IF(AC16= " ", " ",IF(AC18&gt;SUM($H16:$BG16), " N/A", IF(SUM($H18:$BG18)=SUM($H16:CA16), " ", IF(AC18=SUM($H16:CA16), " ", "x"))))</f>
        <v xml:space="preserve"> </v>
      </c>
      <c r="AD20" s="50" t="str">
        <f>IF(SUM($H18:AD18) &gt; SUM($H16:AD16),  " N/A", IF(SUM($H18:$BG18) = SUM($H16:$BH16),    " ",IF(AD18 = SUM($H16:$BH16),  " ",   "x")))</f>
        <v xml:space="preserve"> </v>
      </c>
      <c r="AE20" s="44" t="str">
        <f>IF(AE16= " ", " ",IF(AE18&gt;SUM($H16:$BG16), " N/A", IF(SUM($H18:$BG18)=SUM($H16:CC16), " ", IF(AE18=SUM($H16:CC16), " ", "x"))))</f>
        <v xml:space="preserve"> </v>
      </c>
      <c r="AF20" s="44" t="str">
        <f>IF(AF16= " ", " ",IF(AF18&gt;SUM($H16:$BG16), " N/A", IF(SUM($H18:$BG18)=SUM($H16:CD16), " ", IF(AF18=SUM($H16:CD16), " ", "x"))))</f>
        <v xml:space="preserve"> </v>
      </c>
      <c r="AG20" s="44" t="str">
        <f>IF(AG16= " ", " ",IF(AG18&gt;SUM($H16:$BG16), " N/A", IF(SUM($H18:$BG18)=SUM($H16:CE16), " ", IF(AG18=SUM($H16:CE16), " ", "x"))))</f>
        <v xml:space="preserve"> </v>
      </c>
      <c r="AH20" s="44" t="str">
        <f>IF(AH16= " ", " ",IF(AH18&gt;SUM($H16:$BG16), " N/A", IF(SUM($H18:$BG18)=SUM($H16:CF16), " ", IF(AH18=SUM($H16:CF16), " ", "x"))))</f>
        <v xml:space="preserve"> </v>
      </c>
      <c r="AI20" s="44" t="str">
        <f>IF(AI16= " ", " ",IF(AI18&gt;SUM($H16:$BG16), " N/A", IF(SUM($H18:$BG18)=SUM($H16:CG16), " ", IF(AI18=SUM($H16:CG16), " ", "x"))))</f>
        <v xml:space="preserve"> </v>
      </c>
      <c r="AJ20" s="44" t="str">
        <f>IF(AJ16= " ", " ",IF(AJ18&gt;SUM($H16:$BG16), " N/A", IF(SUM($H18:$BG18)=SUM($H16:CH16), " ", IF(AJ18=SUM($H16:CH16), " ", "x"))))</f>
        <v xml:space="preserve"> </v>
      </c>
      <c r="AK20" s="44" t="str">
        <f>IF(AK16= " ", " ",IF(AK18&gt;SUM($H16:$BG16), " N/A", IF(SUM($H18:$BG18)=SUM($H16:CI16), " ", IF(AK18=SUM($H16:CI16), " ", "x"))))</f>
        <v xml:space="preserve"> </v>
      </c>
      <c r="AL20" s="44" t="str">
        <f>IF(AL16= " ", " ",IF(AL18&gt;SUM($H16:$BG16), " N/A", IF(SUM($H18:$BG18)=SUM($H16:CJ16), " ", IF(AL18=SUM($H16:CJ16), " ", "x"))))</f>
        <v xml:space="preserve"> </v>
      </c>
      <c r="AM20" s="44" t="str">
        <f>IF(AM16= " ", " ",IF(AM18&gt;SUM($H16:$BG16), " N/A", IF(SUM($H18:$BG18)=SUM($H16:CK16), " ", IF(AM18=SUM($H16:CK16), " ", "x"))))</f>
        <v xml:space="preserve"> </v>
      </c>
      <c r="AN20" s="44" t="str">
        <f>IF(AN16= " ", " ",IF(AN18&gt;SUM($H16:$BG16), " N/A", IF(SUM($H18:$BG18)=SUM($H16:CL16), " ", IF(AN18=SUM($H16:CL16), " ", "x"))))</f>
        <v xml:space="preserve"> </v>
      </c>
      <c r="AO20" s="44" t="str">
        <f>IF(AO16= " ", " ",IF(AO18&gt;SUM($H16:$BG16), " N/A", IF(SUM($H18:$BG18)=SUM($H16:CM16), " ", IF(AO18=SUM($H16:CM16), " ", "x"))))</f>
        <v xml:space="preserve"> </v>
      </c>
      <c r="AP20" s="44" t="str">
        <f>IF(AP16= " ", " ",IF(AP18&gt;SUM($H16:$BG16), " N/A", IF(SUM($H18:$BG18)=SUM($H16:CN16), " ", IF(AP18=SUM($H16:CN16), " ", "x"))))</f>
        <v xml:space="preserve"> </v>
      </c>
      <c r="AQ20" s="44" t="str">
        <f>IF(AQ16= " ", " ",IF(AQ18&gt;SUM($H16:$BG16), " N/A", IF(SUM($H18:$BG18)=SUM($H16:CO16), " ", IF(AQ18=SUM($H16:CO16), " ", "x"))))</f>
        <v xml:space="preserve"> </v>
      </c>
      <c r="AR20" s="44" t="str">
        <f>IF(AR16= " ", " ",IF(AR18&gt;SUM($H16:$BG16), " N/A", IF(SUM($H18:$BG18)=SUM($H16:CP16), " ", IF(AR18=SUM($H16:CP16), " ", "x"))))</f>
        <v xml:space="preserve"> </v>
      </c>
      <c r="AS20" s="44" t="str">
        <f>IF(AS16= " ", " ",IF(AS18&gt;SUM($H16:$BG16), " N/A", IF(SUM($H18:$BG18)=SUM($H16:CQ16), " ", IF(AS18=SUM($H16:CQ16), " ", "x"))))</f>
        <v xml:space="preserve"> </v>
      </c>
      <c r="AT20" s="44" t="str">
        <f>IF(AT16= " ", " ",IF(AT18&gt;SUM($H16:$BG16), " N/A", IF(SUM($H18:$BG18)=SUM($H16:CR16), " ", IF(AT18=SUM($H16:CR16), " ", "x"))))</f>
        <v xml:space="preserve"> </v>
      </c>
      <c r="AU20" s="44" t="str">
        <f>IF(AU16= " ", " ",IF(AU18&gt;SUM($H16:$BG16), " N/A", IF(SUM($H18:$BG18)=SUM($H16:CS16), " ", IF(AU18=SUM($H16:CS16), " ", "x"))))</f>
        <v xml:space="preserve"> </v>
      </c>
      <c r="AV20" s="44" t="str">
        <f>IF(AV16= " ", " ",IF(AV18&gt;SUM($H16:$BG16), " N/A", IF(SUM($H18:$BG18)=SUM($H16:CT16), " ", IF(AV18=SUM($H16:CT16), " ", "x"))))</f>
        <v xml:space="preserve"> </v>
      </c>
      <c r="AW20" s="44" t="str">
        <f>IF(AW16= " ", " ",IF(AW18&gt;SUM($H16:$BG16), " N/A", IF(SUM($H18:$BG18)=SUM($H16:CU16), " ", IF(AW18=SUM($H16:CU16), " ", "x"))))</f>
        <v xml:space="preserve"> </v>
      </c>
      <c r="AX20" s="44" t="str">
        <f>IF(AX16= " ", " ",IF(AX18&gt;SUM($H16:$BG16), " N/A", IF(SUM($H18:$BG18)=SUM($H16:CV16), " ", IF(AX18=SUM($H16:CV16), " ", "x"))))</f>
        <v xml:space="preserve"> </v>
      </c>
      <c r="AY20" s="44" t="str">
        <f>IF(AY16= " ", " ",IF(AY18&gt;SUM($H16:$BG16), " N/A", IF(SUM($H18:$BG18)=SUM($H16:CW16), " ", IF(AY18=SUM($H16:CW16), " ", "x"))))</f>
        <v xml:space="preserve"> </v>
      </c>
      <c r="AZ20" s="44" t="str">
        <f>IF(AZ16= " ", " ",IF(AZ18&gt;SUM($H16:$BG16), " N/A", IF(SUM($H18:$BG18)=SUM($H16:CX16), " ", IF(AZ18=SUM($H16:CX16), " ", "x"))))</f>
        <v xml:space="preserve"> </v>
      </c>
      <c r="BA20" s="44" t="str">
        <f>IF(BA16= " ", " ",IF(BA18&gt;SUM($H16:$BG16), " N/A", IF(SUM($H18:$BG18)=SUM($H16:CY16), " ", IF(BA18=SUM($H16:CY16), " ", "x"))))</f>
        <v xml:space="preserve"> </v>
      </c>
      <c r="BB20" s="44" t="str">
        <f>IF(BB16= " ", " ",IF(BB18&gt;SUM($H16:$BG16), " N/A", IF(SUM($H18:$BG18)=SUM($H16:CZ16), " ", IF(BB18=SUM($H16:CZ16), " ", "x"))))</f>
        <v xml:space="preserve"> </v>
      </c>
      <c r="BC20" s="44" t="str">
        <f>IF(BC16= " ", " ",IF(BC18&gt;SUM($H16:$BG16), " N/A", IF(SUM($H18:$BG18)=SUM($H16:DA16), " ", IF(BC18=SUM($H16:DA16), " ", "x"))))</f>
        <v xml:space="preserve"> </v>
      </c>
      <c r="BD20" s="44" t="str">
        <f>IF(BD16= " ", " ",IF(BD18&gt;SUM($H16:$BG16), " N/A", IF(SUM($H18:$BG18)=SUM($H16:DB16), " ", IF(BD18=SUM($H16:DB16), " ", "x"))))</f>
        <v xml:space="preserve"> </v>
      </c>
      <c r="BE20" s="44" t="str">
        <f>IF(BE16= " ", " ",IF(BE18&gt;SUM($H16:$BG16), " N/A", IF(SUM($H18:$BG18)=SUM($H16:DC16), " ", IF(BE18=SUM($H16:DC16), " ", "x"))))</f>
        <v xml:space="preserve"> </v>
      </c>
      <c r="BF20" s="44" t="str">
        <f>IF(BF16= " ", " ",IF(BF18&gt;SUM($H16:$BG16), " N/A", IF(SUM($H18:$BG18)=SUM($H16:DD16), " ", IF(BF18=SUM($H16:DD16), " ", "x"))))</f>
        <v xml:space="preserve"> </v>
      </c>
      <c r="BG20" s="44" t="str">
        <f>IF(BG16= " ", " ",IF(BG18&gt;SUM($H16:$BG16), " N/A", IF(SUM($H18:$BG18)=SUM($H16:DE16), " ", IF(BG18=SUM($H16:DE16), " ", "x"))))</f>
        <v xml:space="preserve"> </v>
      </c>
      <c r="BH20" s="21"/>
    </row>
    <row r="21" spans="2:60" ht="15.6" x14ac:dyDescent="0.3">
      <c r="B21" s="67"/>
      <c r="C21" s="77"/>
      <c r="D21" s="82" t="s">
        <v>249</v>
      </c>
      <c r="E21" s="54">
        <f>SUM(H21:BG21)</f>
        <v>16</v>
      </c>
      <c r="F21" s="115">
        <f>Gant_24!$E21-E23</f>
        <v>0</v>
      </c>
      <c r="H21" s="41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>
        <v>16</v>
      </c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21"/>
    </row>
    <row r="22" spans="2:60" ht="15.6" x14ac:dyDescent="0.3">
      <c r="B22" s="68"/>
      <c r="C22" s="78"/>
      <c r="D22" s="83" t="s">
        <v>261</v>
      </c>
      <c r="E22" s="55">
        <f>SUM(H22:BG22)</f>
        <v>0</v>
      </c>
      <c r="F22" s="116"/>
      <c r="H22" s="43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21"/>
    </row>
    <row r="23" spans="2:60" ht="15.6" x14ac:dyDescent="0.3">
      <c r="B23" s="68" t="s">
        <v>39</v>
      </c>
      <c r="C23" s="78" t="s">
        <v>40</v>
      </c>
      <c r="D23" s="83" t="s">
        <v>241</v>
      </c>
      <c r="E23" s="55">
        <f>SUM(H23:BG23)</f>
        <v>16</v>
      </c>
      <c r="F23" s="116"/>
      <c r="H23" s="45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>
        <v>2</v>
      </c>
      <c r="AG23" s="46"/>
      <c r="AH23" s="46">
        <v>4</v>
      </c>
      <c r="AI23" s="46">
        <v>5</v>
      </c>
      <c r="AJ23" s="46"/>
      <c r="AK23" s="46">
        <v>5</v>
      </c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21"/>
    </row>
    <row r="24" spans="2:60" ht="15.6" x14ac:dyDescent="0.3">
      <c r="B24" s="68"/>
      <c r="C24" s="78"/>
      <c r="D24" s="83" t="s">
        <v>278</v>
      </c>
      <c r="E24" s="56">
        <f ca="1">MAX(H24:BG24)</f>
        <v>0</v>
      </c>
      <c r="F24" s="116"/>
      <c r="H24" s="47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 t="str">
        <f>IF(SUM(H21:BG21)=AC23," 0 "," ")</f>
        <v xml:space="preserve"> </v>
      </c>
      <c r="AD24" s="48" t="str">
        <f ca="1">IF(AD9&gt;WEEKNUM(TODAY())," ",IF(AND(AD10="x",SUM($AC23:AD23)&gt;$AC21),H9-(SUM($AC23:AC23)/SUM($AC21:$BG21)),IF(SUM($AC23:AD23)&gt;=$AC21," ",H9-(SUM($AC23:AC23)/(SUM($AC21:$BG21))))))</f>
        <v xml:space="preserve"> </v>
      </c>
      <c r="AE24" s="48" t="str">
        <f ca="1">IF(AE9&gt;WEEKNUM(TODAY())," ",IF(AND(AE10="x",SUM($AC23:AE23)&gt;$AC21),I9-(SUM($AC23:AD23)/SUM($AC21:$BG21)),IF(SUM($AC23:AE23)&gt;=$AC21," ",I9-(SUM($AC23:AD23)/(SUM($AC21:$BG21))))))</f>
        <v xml:space="preserve"> </v>
      </c>
      <c r="AF24" s="48" t="str">
        <f ca="1">IF(AF9&gt;WEEKNUM(TODAY())," ",IF(AND(AF10="x",SUM($AC23:AF23)&gt;$AC21),J9-(SUM($AC23:AE23)/SUM($AC21:$BG21)),IF(SUM($AC23:AF23)&gt;=$AC21," ",J9-(SUM($AC23:AE23)/(SUM($AC21:$BG21))))))</f>
        <v xml:space="preserve"> </v>
      </c>
      <c r="AG24" s="48" t="str">
        <f ca="1">IF(AG9&gt;WEEKNUM(TODAY())," ",IF(AND(AG10="x",SUM($AC23:AG23)&gt;$AC21),K9-(SUM($AC23:AF23)/SUM($AC21:$BG21)),IF(SUM($AC23:AG23)&gt;=$AC21," ",K9-(SUM($AC23:AF23)/(SUM($AC21:$BG21))))))</f>
        <v xml:space="preserve"> </v>
      </c>
      <c r="AH24" s="48" t="str">
        <f ca="1">IF(AH9&gt;WEEKNUM(TODAY())," ",IF(AND(AH10="x",SUM($AC23:AH23)&gt;$AC21),L9-(SUM($AC23:AG23)/SUM($AC21:$BG21)),IF(SUM($AC23:AH23)&gt;=$AC21," ",L9-(SUM($AC23:AG23)/(SUM($AC21:$BG21))))))</f>
        <v xml:space="preserve"> </v>
      </c>
      <c r="AI24" s="48" t="str">
        <f ca="1">IF(AI9&gt;WEEKNUM(TODAY())," ",IF(AND(AI10="x",SUM($AC23:AI23)&gt;$AC21),M9-(SUM($AC23:AH23)/SUM($AC21:$BG21)),IF(SUM($AC23:AI23)&gt;=$AC21," ",M9-(SUM($AC23:AH23)/(SUM($AC21:$BG21))))))</f>
        <v xml:space="preserve"> </v>
      </c>
      <c r="AJ24" s="48" t="str">
        <f ca="1">IF(AJ9&gt;WEEKNUM(TODAY())," ",IF(AND(AJ10="x",SUM($AC23:AJ23)&gt;$AC21),N9-(SUM($AC23:AI23)/SUM($AC21:$BG21)),IF(SUM($AC23:AJ23)&gt;=$AC21," ",N9-(SUM($AC23:AI23)/(SUM($AC21:$BG21))))))</f>
        <v xml:space="preserve"> </v>
      </c>
      <c r="AK24" s="48" t="str">
        <f ca="1">IF(AK9&gt;WEEKNUM(TODAY())," ",IF(AND(AK10="x",SUM($AC23:AK23)&gt;$AC21),O9-(SUM($AC23:AJ23)/SUM($AC21:$BG21)),IF(SUM($AC23:AK23)&gt;=$AC21," ",O9-(SUM($AC23:AJ23)/(SUM($AC21:$BG21))))))</f>
        <v xml:space="preserve"> </v>
      </c>
      <c r="AL24" s="48" t="str">
        <f ca="1">IF(AL9&gt;WEEKNUM(TODAY())," ",IF(AND(AL10="x",SUM($AC23:AL23)&gt;$AC21),P9-(SUM($AC23:AK23)/SUM($AC21:$BG21)),IF(SUM($AC23:AL23)&gt;=$AC21," ",P9-(SUM($AC23:AK23)/(SUM($AC21:$BG21))))))</f>
        <v xml:space="preserve"> </v>
      </c>
      <c r="AM24" s="48" t="str">
        <f ca="1">IF(AM9&gt;WEEKNUM(TODAY())," ",IF(AND(AM10="x",SUM($AC23:AM23)&gt;$AC21),Q9-(SUM($AC23:AL23)/SUM($AC21:$BG21)),IF(SUM($AC23:AM23)&gt;=$AC21," ",Q9-(SUM($AC23:AL23)/(SUM($AC21:$BG21))))))</f>
        <v xml:space="preserve"> </v>
      </c>
      <c r="AN24" s="48" t="str">
        <f ca="1">IF(AN9&gt;WEEKNUM(TODAY())," ",IF(AND(AN10="x",SUM($AC23:AN23)&gt;$AC21),R9-(SUM($AC23:AM23)/SUM($AC21:$BG21)),IF(SUM($AC23:AN23)&gt;=$AC21," ",R9-(SUM($AC23:AM23)/(SUM($AC21:$BG21))))))</f>
        <v xml:space="preserve"> </v>
      </c>
      <c r="AO24" s="48" t="str">
        <f ca="1">IF(AO9&gt;WEEKNUM(TODAY())," ",IF(AND(AO10="x",SUM($AC23:AO23)&gt;$AC21),S9-(SUM($AC23:AN23)/SUM($AC21:$BG21)),IF(SUM($AC23:AO23)&gt;=$AC21," ",S9-(SUM($AC23:AN23)/(SUM($AC21:$BG21))))))</f>
        <v xml:space="preserve"> </v>
      </c>
      <c r="AP24" s="48" t="str">
        <f ca="1">IF(AP9&gt;WEEKNUM(TODAY())," ",IF(AND(AP10="x",SUM($AC23:AP23)&gt;$AC21),T9-(SUM($AC23:AO23)/SUM($AC21:$BG21)),IF(SUM($AC23:AP23)&gt;=$AC21," ",T9-(SUM($AC23:AO23)/(SUM($AC21:$BG21))))))</f>
        <v xml:space="preserve"> </v>
      </c>
      <c r="AQ24" s="48" t="str">
        <f ca="1">IF(AQ9&gt;WEEKNUM(TODAY())," ",IF(AND(AQ10="x",SUM($AC23:AQ23)&gt;$AC21),U9-(SUM($AC23:AP23)/SUM($AC21:$BG21)),IF(SUM($AC23:AQ23)&gt;=$AC21," ",U9-(SUM($AC23:AP23)/(SUM($AC21:$BG21))))))</f>
        <v xml:space="preserve"> </v>
      </c>
      <c r="AR24" s="48" t="str">
        <f ca="1">IF(AR9&gt;WEEKNUM(TODAY())," ",IF(AND(AR10="x",SUM($AC23:AR23)&gt;$AC21),V9-(SUM($AC23:AQ23)/SUM($AC21:$BG21)),IF(SUM($AC23:AR23)&gt;=$AC21," ",V9-(SUM($AC23:AQ23)/(SUM($AC21:$BG21))))))</f>
        <v xml:space="preserve"> </v>
      </c>
      <c r="AS24" s="48" t="str">
        <f ca="1">IF(AS9&gt;WEEKNUM(TODAY())," ",IF(AND(AS10="x",SUM($AC23:AS23)&gt;$AC21),W9-(SUM($AC23:AR23)/SUM($AC21:$BG21)),IF(SUM($AC23:AS23)&gt;=$AC21," ",W9-(SUM($AC23:AR23)/(SUM($AC21:$BG21))))))</f>
        <v xml:space="preserve"> </v>
      </c>
      <c r="AT24" s="48" t="str">
        <f ca="1">IF(AT9&gt;WEEKNUM(TODAY())," ",IF(AND(AT10="x",SUM($AC23:AT23)&gt;$AC21),X9-(SUM($AC23:AS23)/SUM($AC21:$BG21)),IF(SUM($AC23:AT23)&gt;=$AC21," ",X9-(SUM($AC23:AS23)/(SUM($AC21:$BG21))))))</f>
        <v xml:space="preserve"> </v>
      </c>
      <c r="AU24" s="48" t="str">
        <f ca="1">IF(AU9&gt;WEEKNUM(TODAY())," ",IF(AND(AU10="x",SUM($AC23:AU23)&gt;$AC21),Y9-(SUM($AC23:AT23)/SUM($AC21:$BG21)),IF(SUM($AC23:AU23)&gt;=$AC21," ",Y9-(SUM($AC23:AT23)/(SUM($AC21:$BG21))))))</f>
        <v xml:space="preserve"> </v>
      </c>
      <c r="AV24" s="48" t="str">
        <f ca="1">IF(AV9&gt;WEEKNUM(TODAY())," ",IF(AND(AV10="x",SUM($AC23:AV23)&gt;$AC21),Z9-(SUM($AC23:AU23)/SUM($AC21:$BG21)),IF(SUM($AC23:AV23)&gt;=$AC21," ",Z9-(SUM($AC23:AU23)/(SUM($AC21:$BG21))))))</f>
        <v xml:space="preserve"> </v>
      </c>
      <c r="AW24" s="48" t="str">
        <f ca="1">IF(AW9&gt;WEEKNUM(TODAY())," ",IF(AND(AW10="x",SUM($AC23:AW23)&gt;$AC21),AA9-(SUM($AC23:AV23)/SUM($AC21:$BG21)),IF(SUM($AC23:AW23)&gt;=$AC21," ",AA9-(SUM($AC23:AV23)/(SUM($AC21:$BG21))))))</f>
        <v xml:space="preserve"> </v>
      </c>
      <c r="AX24" s="48" t="str">
        <f ca="1">IF(AX9&gt;WEEKNUM(TODAY())," ",IF(AND(AX10="x",SUM($AC23:AX23)&gt;$AC21),AB9-(SUM($AC23:AW23)/SUM($AC21:$BG21)),IF(SUM($AC23:AX23)&gt;=$AC21," ",AB9-(SUM($AC23:AW23)/(SUM($AC21:$BG21))))))</f>
        <v xml:space="preserve"> </v>
      </c>
      <c r="AY24" s="48" t="str">
        <f ca="1">IF(AY9&gt;WEEKNUM(TODAY())," ",IF(AND(AY10="x",SUM($AC23:AY23)&gt;$AC21),AC9-(SUM($AC23:AX23)/SUM($AC21:$BG21)),IF(SUM($AC23:AY23)&gt;=$AC21," ",AC9-(SUM($AC23:AX23)/(SUM($AC21:$BG21))))))</f>
        <v xml:space="preserve"> </v>
      </c>
      <c r="AZ24" s="48" t="str">
        <f ca="1">IF(AZ9&gt;WEEKNUM(TODAY())," ",IF(AND(AZ10="x",SUM($AC23:AZ23)&gt;$AC21),AD9-(SUM($AC23:AY23)/SUM($AC21:$BG21)),IF(SUM($AC23:AZ23)&gt;=$AC21," ",AD9-(SUM($AC23:AY23)/(SUM($AC21:$BG21))))))</f>
        <v xml:space="preserve"> </v>
      </c>
      <c r="BA24" s="48" t="str">
        <f ca="1">IF(BA9&gt;WEEKNUM(TODAY())," ",IF(AND(BA10="x",SUM($AC23:BA23)&gt;$AC21),AE9-(SUM($AC23:AZ23)/SUM($AC21:$BG21)),IF(SUM($AC23:BA23)&gt;=$AC21," ",AE9-(SUM($AC23:AZ23)/(SUM($AC21:$BG21))))))</f>
        <v xml:space="preserve"> </v>
      </c>
      <c r="BB24" s="48" t="str">
        <f ca="1">IF(BB9&gt;WEEKNUM(TODAY())," ",IF(AND(BB10="x",SUM($AC23:BB23)&gt;$AC21),AF9-(SUM($AC23:BA23)/SUM($AC21:$BG21)),IF(SUM($AC23:BB23)&gt;=$AC21," ",AF9-(SUM($AC23:BA23)/(SUM($AC21:$BG21))))))</f>
        <v xml:space="preserve"> </v>
      </c>
      <c r="BC24" s="48" t="str">
        <f ca="1">IF(BC9&gt;WEEKNUM(TODAY())," ",IF(AND(BC10="x",SUM($AC23:BC23)&gt;$AC21),AG9-(SUM($AC23:BB23)/SUM($AC21:$BG21)),IF(SUM($AC23:BC23)&gt;=$AC21," ",AG9-(SUM($AC23:BB23)/(SUM($AC21:$BG21))))))</f>
        <v xml:space="preserve"> </v>
      </c>
      <c r="BD24" s="48" t="str">
        <f ca="1">IF(BD9&gt;WEEKNUM(TODAY())," ",IF(AND(BD10="x",SUM($AC23:BD23)&gt;$AC21),AH9-(SUM($AC23:BC23)/SUM($AC21:$BG21)),IF(SUM($AC23:BD23)&gt;=$AC21," ",AH9-(SUM($AC23:BC23)/(SUM($AC21:$BG21))))))</f>
        <v xml:space="preserve"> </v>
      </c>
      <c r="BE24" s="48" t="str">
        <f ca="1">IF(BE9&gt;WEEKNUM(TODAY())," ",IF(AND(BE10="x",SUM($AC23:BE23)&gt;$AC21),AI9-(SUM($AC23:BD23)/SUM($AC21:$BG21)),IF(SUM($AC23:BE23)&gt;=$AC21," ",AI9-(SUM($AC23:BD23)/(SUM($AC21:$BG21))))))</f>
        <v xml:space="preserve"> </v>
      </c>
      <c r="BF24" s="48" t="str">
        <f ca="1">IF(BF9&gt;WEEKNUM(TODAY())," ",IF(AND(BF10="x",SUM($AC23:BF23)&gt;$AC21),AJ9-(SUM($AC23:BE23)/SUM($AC21:$BG21)),IF(SUM($AC23:BF23)&gt;=$AC21," ",AJ9-(SUM($AC23:BE23)/(SUM($AC21:$BG21))))))</f>
        <v xml:space="preserve"> </v>
      </c>
      <c r="BG24" s="48" t="str">
        <f ca="1">IF(BG9&gt;WEEKNUM(TODAY())," ",IF(AND(BG10="x",SUM($AC23:BG23)&gt;$AC21),AK9-(SUM($AC23:BF23)/SUM($AC21:$BG21)),IF(SUM($AC23:BG23)&gt;=$AC21," ",AK9-(SUM($AC23:BF23)/(SUM($AC21:$BG21))))))</f>
        <v xml:space="preserve"> </v>
      </c>
      <c r="BH24" s="21"/>
    </row>
    <row r="25" spans="2:60" ht="16.2" thickBot="1" x14ac:dyDescent="0.35">
      <c r="B25" s="70"/>
      <c r="C25" s="79"/>
      <c r="D25" s="84"/>
      <c r="E25" s="57"/>
      <c r="F25" s="117"/>
      <c r="H25" s="49" t="str">
        <f>IF(H21= " ", " ",IF(H23&gt;SUM($H21:$BG21), " N/A", IF(SUM($H23:$BG23)=SUM($H21:BG21), " ", IF(H23=SUM($H21:BG21), " ", "x"))))</f>
        <v xml:space="preserve"> </v>
      </c>
      <c r="I25" s="50" t="str">
        <f>IF(SUM($H23:I23) &gt; SUM($H21:I21),  " N/A", IF(SUM($H23:$BG23) = SUM($H21:$BH21),    " ",IF(I23 = SUM($H21:$BH21),  " ",   "x")))</f>
        <v xml:space="preserve"> </v>
      </c>
      <c r="J25" s="50" t="str">
        <f>IF(SUM($H23:J23) &gt; SUM($H21:J21),  " N/A", IF(SUM($H23:$BG23) = SUM($H21:$BH21),    " ",IF(J23 = SUM($H21:$BH21),  " ",   "x")))</f>
        <v xml:space="preserve"> </v>
      </c>
      <c r="K25" s="50" t="str">
        <f>IF(SUM($H23:K23) &gt; SUM($H21:K21),  " N/A", IF(SUM($H23:$BG23) = SUM($H21:$BH21),    " ",IF(K23 = SUM($H21:$BH21),  " ",   "x")))</f>
        <v xml:space="preserve"> </v>
      </c>
      <c r="L25" s="50" t="str">
        <f ca="1">IF(SUM($H23:L23) &gt; SUM($H21:L21),  " N/A", IF(SUM($H23:$BG23) = SUM($H19:$BH19),    " ",IF(L23 = SUM($H19:$BH19),  " ",   "x")))</f>
        <v xml:space="preserve"> </v>
      </c>
      <c r="M25" s="50" t="str">
        <f ca="1">IF(SUM($H23:M23) &gt; SUM($H21:M21),  " N/A", IF(SUM($H23:$BG23) = SUM($H19:$BH19),    " ",IF(M23 = SUM($H19:$BH19),  " ",   "x")))</f>
        <v xml:space="preserve"> </v>
      </c>
      <c r="N25" s="50" t="str">
        <f ca="1">IF(SUM($H23:N23) &gt; SUM($H21:N21),  " N/A", IF(SUM($H23:$BG23) = SUM($H19:$BH19),    " ",IF(N23 = SUM($H19:$BH19),  " ",   "x")))</f>
        <v xml:space="preserve"> </v>
      </c>
      <c r="O25" s="50" t="str">
        <f ca="1">IF(SUM($H23:O23) &gt; SUM($H21:O21),  " N/A", IF(SUM($H23:$BG23) = SUM($H19:$BH19),    " ",IF(O23 = SUM($H19:$BH19),  " ",   "x")))</f>
        <v xml:space="preserve"> </v>
      </c>
      <c r="P25" s="50" t="str">
        <f ca="1">IF(SUM($H23:P23) &gt; SUM($H21:P21),  " N/A", IF(SUM($H23:$BG23) = SUM($H19:$BH19),    " ",IF(P23 = SUM($H19:$BH19),  " ",   "x")))</f>
        <v xml:space="preserve"> </v>
      </c>
      <c r="Q25" s="50" t="str">
        <f ca="1">IF(SUM($H23:Q23) &gt; SUM($H21:Q21),  " N/A", IF(SUM($H23:$BG23) = SUM($H19:$BH19),    " ",IF(Q23 = SUM($H19:$BH19),  " ",   "x")))</f>
        <v xml:space="preserve"> </v>
      </c>
      <c r="R25" s="50" t="str">
        <f ca="1">IF(SUM($H23:R23) &gt; SUM($H21:R21),  " N/A", IF(SUM($H23:$BG23) = SUM($H19:$BH19),    " ",IF(R23 = SUM($H19:$BH19),  " ",   "x")))</f>
        <v xml:space="preserve"> </v>
      </c>
      <c r="S25" s="50" t="str">
        <f ca="1">IF(SUM($H23:S23) &gt; SUM($H21:S21),  " N/A", IF(SUM($H23:$BG23) = SUM($H19:$BH19),    " ",IF(S23 = SUM($H19:$BH19),  " ",   "x")))</f>
        <v xml:space="preserve"> </v>
      </c>
      <c r="T25" s="50" t="str">
        <f ca="1">IF(SUM($H23:T23) &gt; SUM($H21:T21),  " N/A", IF(SUM($H23:$BG23) = SUM($H19:$BH19),    " ",IF(T23 = SUM($H19:$BH19),  " ",   "x")))</f>
        <v xml:space="preserve"> </v>
      </c>
      <c r="U25" s="50" t="str">
        <f ca="1">IF(SUM($H23:U23) &gt; SUM($H21:U21),  " N/A", IF(SUM($H23:$BG23) = SUM($H19:$BH19),    " ",IF(U23 = SUM($H19:$BH19),  " ",   "x")))</f>
        <v xml:space="preserve"> </v>
      </c>
      <c r="V25" s="50" t="str">
        <f ca="1">IF(SUM($H23:V23) &gt; SUM($H21:V21),  " N/A", IF(SUM($H23:$BG23) = SUM($H19:$BH19),    " ",IF(V23 = SUM($H19:$BH19),  " ",   "x")))</f>
        <v xml:space="preserve"> </v>
      </c>
      <c r="W25" s="50" t="str">
        <f ca="1">IF(SUM($H23:W23) &gt; SUM($H21:W21),  " N/A", IF(SUM($H23:$BG23) = SUM($H19:$BH19),    " ",IF(W23 = SUM($H19:$BH19),  " ",   "x")))</f>
        <v xml:space="preserve"> </v>
      </c>
      <c r="X25" s="50" t="str">
        <f ca="1">IF(SUM($H23:X23) &gt; SUM($H21:X21),  " N/A", IF(SUM($H23:$BG23) = SUM($H19:$BH19),    " ",IF(X23 = SUM($H19:$BH19),  " ",   "x")))</f>
        <v xml:space="preserve"> </v>
      </c>
      <c r="Y25" s="50" t="str">
        <f ca="1">IF(SUM($H23:Y23) &gt; SUM($H21:Y21),  " N/A", IF(SUM($H23:$BG23) = SUM($H19:$BH19),    " ",IF(Y23 = SUM($H19:$BH19),  " ",   "x")))</f>
        <v xml:space="preserve"> </v>
      </c>
      <c r="Z25" s="50" t="str">
        <f ca="1">IF(SUM($H23:Z23) &gt; SUM($H21:Z21),  " N/A", IF(SUM($H23:$BG23) = SUM($H19:$BH19),    " ",IF(Z23 = SUM($H19:$BH19),  " ",   "x")))</f>
        <v xml:space="preserve"> </v>
      </c>
      <c r="AA25" s="50" t="str">
        <f ca="1">IF(SUM($H23:AA23) &gt; SUM($H21:AA21),  " N/A", IF(SUM($H23:$BG23) = SUM($H19:$BH19),    " ",IF(AA23 = SUM($H19:$BH19),  " ",   "x")))</f>
        <v xml:space="preserve"> </v>
      </c>
      <c r="AB25" s="50" t="str">
        <f ca="1">IF(SUM($H23:AB23) &gt; SUM($H21:AB21),  " N/A", IF(SUM($H23:$BG23) = SUM($H19:$BH19),    " ",IF(AB23 = SUM($H19:$BH19),  " ",   "x")))</f>
        <v xml:space="preserve"> </v>
      </c>
      <c r="AC25" s="50" t="str">
        <f ca="1">IF(SUM($H23:AC23) &gt; SUM($H21:AC21),  " N/A", IF(SUM($H23:$BG23) = SUM($H19:$BH19),    " ",IF(AC23 = SUM($H19:$BH19),  " ",   "x")))</f>
        <v xml:space="preserve"> </v>
      </c>
      <c r="AD25" s="50" t="str">
        <f>IF(SUM($H23:AD23) &gt; SUM($H21:AD21),  " N/A", IF(SUM($H23:$BG23) = SUM($H21:$BH21),    " ",IF(AD23 = SUM($H21:$BH21),  " ",   "x")))</f>
        <v xml:space="preserve"> </v>
      </c>
      <c r="AE25" s="50" t="str">
        <f>IF(SUM($H23:AE23) &gt; SUM($H21:AE21),  " N/A", IF(SUM($H23:$BG23) = SUM($H21:$BH21),    " ",IF(AE23 = SUM($H21:$BH21),  " ",   "x")))</f>
        <v xml:space="preserve"> </v>
      </c>
      <c r="AF25" s="50" t="str">
        <f>IF(SUM($H23:AF23) &gt; SUM($H21:AF21),  " N/A", IF(SUM($H23:$BG23) = SUM($H21:$BH21),    " ",IF(AF23 = SUM($H21:$BH21),  " ",   "x")))</f>
        <v xml:space="preserve"> </v>
      </c>
      <c r="AG25" s="50" t="str">
        <f>IF(SUM($H23:AG23) &gt; SUM($H21:AG21),  " N/A", IF(SUM($H23:$BG23) = SUM($H21:$BH21),    " ",IF(AG23 = SUM($H21:$BH21),  " ",   "x")))</f>
        <v xml:space="preserve"> </v>
      </c>
      <c r="AH25" s="50" t="str">
        <f>IF(SUM($H23:AH23) &gt; SUM($H21:AH21),  " N/A", IF(SUM($H23:$BG23) = SUM($H21:$BH21),    " ",IF(AH23 = SUM($H21:$BH21),  " ",   "x")))</f>
        <v xml:space="preserve"> </v>
      </c>
      <c r="AI25" s="50" t="str">
        <f>IF(SUM($H23:AI23) &gt; SUM($H21:AI21),  " N/A", IF(SUM($H23:$BG23) = SUM($H21:$BH21),    " ",IF(AI23 = SUM($H21:$BH21),  " ",   "x")))</f>
        <v xml:space="preserve"> </v>
      </c>
      <c r="AJ25" s="50" t="str">
        <f>IF(SUM($H23:AJ23) &gt; SUM($H21:AJ21),  " N/A", IF(SUM($H23:$BG23) = SUM($H21:$BH21),    " ",IF(AJ23 = SUM($H21:$BH21),  " ",   "x")))</f>
        <v xml:space="preserve"> </v>
      </c>
      <c r="AK25" s="50" t="str">
        <f>IF(SUM($H23:AK23) &gt; SUM($H21:AK21),  " N/A", IF(SUM($H23:$BG23) = SUM($H21:$BH21),    " ",IF(AK23 = SUM($H21:$BH21),  " ",   "x")))</f>
        <v xml:space="preserve"> </v>
      </c>
      <c r="AL25" s="50" t="str">
        <f>IF(SUM($H23:AL23) &gt; SUM($H21:AL21),  " N/A", IF(SUM($H23:$BG23) = SUM($H21:$BH21),    " ",IF(AL23 = SUM($H21:$BH21),  " ",   "x")))</f>
        <v xml:space="preserve"> </v>
      </c>
      <c r="AM25" s="50" t="str">
        <f>IF(SUM($H23:AM23) &gt; SUM($H21:AM21),  " N/A", IF(SUM($H23:$BG23) = SUM($H21:$BH21),    " ",IF(AM23 = SUM($H21:$BH21),  " ",   "x")))</f>
        <v xml:space="preserve"> </v>
      </c>
      <c r="AN25" s="50" t="str">
        <f>IF(SUM($H23:AN23) &gt; SUM($H21:AN21),  " N/A", IF(SUM($H23:$BG23) = SUM($H21:$BH21),    " ",IF(AN23 = SUM($H21:$BH21),  " ",   "x")))</f>
        <v xml:space="preserve"> </v>
      </c>
      <c r="AO25" s="50" t="str">
        <f>IF(SUM($H23:AO23) &gt; SUM($H21:AO21),  " N/A", IF(SUM($H23:$BG23) = SUM($H21:$BH21),    " ",IF(AO23 = SUM($H21:$BH21),  " ",   "x")))</f>
        <v xml:space="preserve"> </v>
      </c>
      <c r="AP25" s="50" t="str">
        <f>IF(SUM($H23:AP23) &gt; SUM($H21:AP21),  " N/A", IF(SUM($H23:$BG23) = SUM($H21:$BH21),    " ",IF(AP23 = SUM($H21:$BH21),  " ",   "x")))</f>
        <v xml:space="preserve"> </v>
      </c>
      <c r="AQ25" s="50" t="str">
        <f>IF(SUM($H23:AQ23) &gt; SUM($H21:AQ21),  " N/A", IF(SUM($H23:$BG23) = SUM($H21:$BH21),    " ",IF(AQ23 = SUM($H21:$BH21),  " ",   "x")))</f>
        <v xml:space="preserve"> </v>
      </c>
      <c r="AR25" s="50" t="str">
        <f>IF(SUM($H23:AR23) &gt; SUM($H21:AR21),  " N/A", IF(SUM($H23:$BG23) = SUM($H21:$BH21),    " ",IF(AR23 = SUM($H21:$BH21),  " ",   "x")))</f>
        <v xml:space="preserve"> </v>
      </c>
      <c r="AS25" s="50" t="str">
        <f>IF(SUM($H23:AS23) &gt; SUM($H21:AS21),  " N/A", IF(SUM($H23:$BG23) = SUM($H21:$BH21),    " ",IF(AS23 = SUM($H21:$BH21),  " ",   "x")))</f>
        <v xml:space="preserve"> </v>
      </c>
      <c r="AT25" s="50" t="str">
        <f>IF(SUM($H23:AT23) &gt; SUM($H21:AT21),  " N/A", IF(SUM($H23:$BG23) = SUM($H21:$BH21),    " ",IF(AT23 = SUM($H21:$BH21),  " ",   "x")))</f>
        <v xml:space="preserve"> </v>
      </c>
      <c r="AU25" s="50" t="str">
        <f>IF(SUM($H23:AU23) &gt; SUM($H21:AU21),  " N/A", IF(SUM($H23:$BG23) = SUM($H21:$BH21),    " ",IF(AU23 = SUM($H21:$BH21),  " ",   "x")))</f>
        <v xml:space="preserve"> </v>
      </c>
      <c r="AV25" s="50" t="str">
        <f>IF(SUM($H23:AV23) &gt; SUM($H21:AV21),  " N/A", IF(SUM($H23:$BG23) = SUM($H21:$BH21),    " ",IF(AV23 = SUM($H21:$BH21),  " ",   "x")))</f>
        <v xml:space="preserve"> </v>
      </c>
      <c r="AW25" s="50" t="str">
        <f>IF(SUM($H23:AW23) &gt; SUM($H21:AW21),  " N/A", IF(SUM($H23:$BG23) = SUM($H21:$BH21),    " ",IF(AW23 = SUM($H21:$BH21),  " ",   "x")))</f>
        <v xml:space="preserve"> </v>
      </c>
      <c r="AX25" s="50" t="str">
        <f>IF(SUM($H23:AX23) &gt; SUM($H21:AX21),  " N/A", IF(SUM($H23:$BG23) = SUM($H21:$BH21),    " ",IF(AX23 = SUM($H21:$BH21),  " ",   "x")))</f>
        <v xml:space="preserve"> </v>
      </c>
      <c r="AY25" s="50" t="str">
        <f>IF(SUM($H23:AY23) &gt; SUM($H21:AY21),  " N/A", IF(SUM($H23:$BG23) = SUM($H21:$BH21),    " ",IF(AY23 = SUM($H21:$BH21),  " ",   "x")))</f>
        <v xml:space="preserve"> </v>
      </c>
      <c r="AZ25" s="50" t="str">
        <f>IF(SUM($H23:AZ23) &gt; SUM($H21:AZ21),  " N/A", IF(SUM($H23:$BG23) = SUM($H21:$BH21),    " ",IF(AZ23 = SUM($H21:$BH21),  " ",   "x")))</f>
        <v xml:space="preserve"> </v>
      </c>
      <c r="BA25" s="50" t="str">
        <f>IF(SUM($H23:BA23) &gt; SUM($H21:BA21),  " N/A", IF(SUM($H23:$BG23) = SUM($H21:$BH21),    " ",IF(BA23 = SUM($H21:$BH21),  " ",   "x")))</f>
        <v xml:space="preserve"> </v>
      </c>
      <c r="BB25" s="50" t="str">
        <f>IF(SUM($H23:BB23) &gt; SUM($H21:BB21),  " N/A", IF(SUM($H23:$BG23) = SUM($H21:$BH21),    " ",IF(BB23 = SUM($H21:$BH21),  " ",   "x")))</f>
        <v xml:space="preserve"> </v>
      </c>
      <c r="BC25" s="50" t="str">
        <f>IF(SUM($H23:BC23) &gt; SUM($H21:BC21),  " N/A", IF(SUM($H23:$BG23) = SUM($H21:$BH21),    " ",IF(BC23 = SUM($H21:$BH21),  " ",   "x")))</f>
        <v xml:space="preserve"> </v>
      </c>
      <c r="BD25" s="50" t="str">
        <f>IF(SUM($H23:BD23) &gt; SUM($H21:BD21),  " N/A", IF(SUM($H23:$BG23) = SUM($H21:$BH21),    " ",IF(BD23 = SUM($H21:$BH21),  " ",   "x")))</f>
        <v xml:space="preserve"> </v>
      </c>
      <c r="BE25" s="50" t="str">
        <f>IF(SUM($H23:BE23) &gt; SUM($H21:BE21),  " N/A", IF(SUM($H23:$BG23) = SUM($H21:$BH21),    " ",IF(BE23 = SUM($H21:$BH21),  " ",   "x")))</f>
        <v xml:space="preserve"> </v>
      </c>
      <c r="BF25" s="50" t="str">
        <f>IF(SUM($H23:BF23) &gt; SUM($H21:BF21),  " N/A", IF(SUM($H23:$BG23) = SUM($H21:$BH21),    " ",IF(BF23 = SUM($H21:$BH21),  " ",   "x")))</f>
        <v xml:space="preserve"> </v>
      </c>
      <c r="BG25" s="50" t="str">
        <f>IF(SUM($H23:BG23) &gt; SUM($H21:BG21),  " N/A", IF(SUM($H23:$BG23) = SUM($H21:$BH21),    " ",IF(BG23 = SUM($H21:$BH21),  " ",   "x")))</f>
        <v xml:space="preserve"> </v>
      </c>
      <c r="BH25" s="21"/>
    </row>
    <row r="26" spans="2:60" ht="15.6" x14ac:dyDescent="0.3">
      <c r="B26" s="71"/>
      <c r="C26" s="77"/>
      <c r="D26" s="82" t="s">
        <v>249</v>
      </c>
      <c r="E26" s="54">
        <f>SUM(H26:BG26)</f>
        <v>41</v>
      </c>
      <c r="F26" s="115">
        <f>Gant_24!$E26-E28</f>
        <v>0</v>
      </c>
      <c r="H26" s="41"/>
      <c r="I26" s="42"/>
      <c r="J26" s="42"/>
      <c r="K26" s="42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>
        <v>41</v>
      </c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1"/>
      <c r="BC26" s="51"/>
      <c r="BD26" s="51"/>
      <c r="BE26" s="51"/>
      <c r="BF26" s="51"/>
      <c r="BG26" s="51"/>
      <c r="BH26" s="21"/>
    </row>
    <row r="27" spans="2:60" ht="15.6" x14ac:dyDescent="0.3">
      <c r="B27" s="68"/>
      <c r="C27" s="78"/>
      <c r="D27" s="83" t="s">
        <v>261</v>
      </c>
      <c r="E27" s="55">
        <f>SUM(H27:BG27)</f>
        <v>0</v>
      </c>
      <c r="F27" s="116"/>
      <c r="H27" s="43"/>
      <c r="I27" s="44"/>
      <c r="J27" s="44"/>
      <c r="K27" s="44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0"/>
      <c r="AW27" s="50"/>
      <c r="AX27" s="50"/>
      <c r="AY27" s="50"/>
      <c r="AZ27" s="50"/>
      <c r="BA27" s="50"/>
      <c r="BB27" s="50"/>
      <c r="BC27" s="50"/>
      <c r="BD27" s="50"/>
      <c r="BE27" s="50"/>
      <c r="BF27" s="50"/>
      <c r="BG27" s="50"/>
      <c r="BH27" s="21"/>
    </row>
    <row r="28" spans="2:60" ht="15.6" x14ac:dyDescent="0.3">
      <c r="B28" s="68" t="s">
        <v>42</v>
      </c>
      <c r="C28" s="78" t="s">
        <v>43</v>
      </c>
      <c r="D28" s="83" t="s">
        <v>241</v>
      </c>
      <c r="E28" s="55">
        <f>SUM(H28:BG28)</f>
        <v>41</v>
      </c>
      <c r="F28" s="116"/>
      <c r="H28" s="45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>
        <v>10</v>
      </c>
      <c r="AG28" s="46"/>
      <c r="AH28" s="46">
        <v>31</v>
      </c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21"/>
    </row>
    <row r="29" spans="2:60" ht="15.6" x14ac:dyDescent="0.3">
      <c r="B29" s="68"/>
      <c r="C29" s="78"/>
      <c r="D29" s="83" t="s">
        <v>278</v>
      </c>
      <c r="E29" s="56">
        <f ca="1">MAX(H29:BG29)</f>
        <v>0</v>
      </c>
      <c r="F29" s="116"/>
      <c r="H29" s="47"/>
      <c r="I29" s="48"/>
      <c r="J29" s="48"/>
      <c r="K29" s="48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 t="str">
        <f>IF(SUM(H26:BG26)=AD28," 0 "," ")</f>
        <v xml:space="preserve"> </v>
      </c>
      <c r="AE29" s="52" t="str">
        <f ca="1">IF(AE9&gt;WEEKNUM(TODAY())," ",IF(AND(AE10="x",SUM($AD28:AE28)&gt;$AD26),H9-(SUM($AD28:AE28)/SUM($AD26:$BG26)),IF(SUM($AD28:AE28)&gt;=$AD26," ",H9-(SUM($AD28:AE28)/(SUM($AD26:$BG26))))))</f>
        <v xml:space="preserve"> </v>
      </c>
      <c r="AF29" s="52" t="str">
        <f ca="1">IF(AF9&gt;WEEKNUM(TODAY())," ",IF(AND(AF10="x",SUM($AD28:AF28)&gt;$AD26),I9-(SUM($AD28:AF28)/SUM($AD26:$BG26)),IF(SUM($AD28:AF28)&gt;=$AD26," ",I9-(SUM($AD28:AF28)/(SUM($AD26:$BG26))))))</f>
        <v xml:space="preserve"> </v>
      </c>
      <c r="AG29" s="52" t="str">
        <f ca="1">IF(AG9&gt;WEEKNUM(TODAY())," ",IF(AND(AG10="x",SUM($AD28:AG28)&gt;$AD26),J9-(SUM($AD28:AG28)/SUM($AD26:$BG26)),IF(SUM($AD28:AG28)&gt;=$AD26," ",J9-(SUM($AD28:AG28)/(SUM($AD26:$BG26))))))</f>
        <v xml:space="preserve"> </v>
      </c>
      <c r="AH29" s="52" t="str">
        <f ca="1">IF(AH9&gt;WEEKNUM(TODAY())," ",IF(AND(AH10="x",SUM($AD28:AH28)&gt;$AD26),K9-(SUM($AD28:AH28)/SUM($AD26:$BG26)),IF(SUM($AD28:AH28)&gt;=$AD26," ",K9-(SUM($AD28:AH28)/(SUM($AD26:$BG26))))))</f>
        <v xml:space="preserve"> </v>
      </c>
      <c r="AI29" s="52" t="str">
        <f ca="1">IF(AI9&gt;WEEKNUM(TODAY())," ",IF(AND(AI10="x",SUM($AD28:AI28)&gt;$AD26),L9-(SUM($AD28:AI28)/SUM($AD26:$BG26)),IF(SUM($AD28:AI28)&gt;=$AD26," ",L9-(SUM($AD28:AI28)/(SUM($AD26:$BG26))))))</f>
        <v xml:space="preserve"> </v>
      </c>
      <c r="AJ29" s="52" t="str">
        <f ca="1">IF(AJ9&gt;WEEKNUM(TODAY())," ",IF(AND(AJ10="x",SUM($AD28:AJ28)&gt;$AD26),M9-(SUM($AD28:AJ28)/SUM($AD26:$BG26)),IF(SUM($AD28:AJ28)&gt;=$AD26," ",M9-(SUM($AD28:AJ28)/(SUM($AD26:$BG26))))))</f>
        <v xml:space="preserve"> </v>
      </c>
      <c r="AK29" s="52" t="str">
        <f ca="1">IF(AK9&gt;WEEKNUM(TODAY())," ",IF(AND(AK10="x",SUM($AD28:AK28)&gt;$AD26),N9-(SUM($AD28:AK28)/SUM($AD26:$BG26)),IF(SUM($AD28:AK28)&gt;=$AD26," ",N9-(SUM($AD28:AK28)/(SUM($AD26:$BG26))))))</f>
        <v xml:space="preserve"> </v>
      </c>
      <c r="AL29" s="52" t="str">
        <f ca="1">IF(AL9&gt;WEEKNUM(TODAY())," ",IF(AND(AL10="x",SUM($AD28:AL28)&gt;$AD26),O9-(SUM($AD28:AL28)/SUM($AD26:$BG26)),IF(SUM($AD28:AL28)&gt;=$AD26," ",O9-(SUM($AD28:AL28)/(SUM($AD26:$BG26))))))</f>
        <v xml:space="preserve"> </v>
      </c>
      <c r="AM29" s="52" t="str">
        <f ca="1">IF(AM9&gt;WEEKNUM(TODAY())," ",IF(AND(AM10="x",SUM($AD28:AM28)&gt;$AD26),P9-(SUM($AD28:AM28)/SUM($AD26:$BG26)),IF(SUM($AD28:AM28)&gt;=$AD26," ",P9-(SUM($AD28:AM28)/(SUM($AD26:$BG26))))))</f>
        <v xml:space="preserve"> </v>
      </c>
      <c r="AN29" s="52" t="str">
        <f ca="1">IF(AN9&gt;WEEKNUM(TODAY())," ",IF(AND(AN10="x",SUM($AD28:AN28)&gt;$AD26),Q9-(SUM($AD28:AN28)/SUM($AD26:$BG26)),IF(SUM($AD28:AN28)&gt;=$AD26," ",Q9-(SUM($AD28:AN28)/(SUM($AD26:$BG26))))))</f>
        <v xml:space="preserve"> </v>
      </c>
      <c r="AO29" s="52" t="str">
        <f ca="1">IF(AO9&gt;WEEKNUM(TODAY())," ",IF(AND(AO10="x",SUM($AD28:AO28)&gt;$AD26),R9-(SUM($AD28:AO28)/SUM($AD26:$BG26)),IF(SUM($AD28:AO28)&gt;=$AD26," ",R9-(SUM($AD28:AO28)/(SUM($AD26:$BG26))))))</f>
        <v xml:space="preserve"> </v>
      </c>
      <c r="AP29" s="52" t="str">
        <f ca="1">IF(AP9&gt;WEEKNUM(TODAY())," ",IF(AND(AP10="x",SUM($AD28:AP28)&gt;$AD26),S9-(SUM($AD28:AP28)/SUM($AD26:$BG26)),IF(SUM($AD28:AP28)&gt;=$AD26," ",S9-(SUM($AD28:AP28)/(SUM($AD26:$BG26))))))</f>
        <v xml:space="preserve"> </v>
      </c>
      <c r="AQ29" s="52" t="str">
        <f ca="1">IF(AQ9&gt;WEEKNUM(TODAY())," ",IF(AND(AQ10="x",SUM($AD28:AQ28)&gt;$AD26),T9-(SUM($AD28:AQ28)/SUM($AD26:$BG26)),IF(SUM($AD28:AQ28)&gt;=$AD26," ",T9-(SUM($AD28:AQ28)/(SUM($AD26:$BG26))))))</f>
        <v xml:space="preserve"> </v>
      </c>
      <c r="AR29" s="52" t="str">
        <f ca="1">IF(AR9&gt;WEEKNUM(TODAY())," ",IF(AND(AR10="x",SUM($AD28:AR28)&gt;$AD26),U9-(SUM($AD28:AR28)/SUM($AD26:$BG26)),IF(SUM($AD28:AR28)&gt;=$AD26," ",U9-(SUM($AD28:AR28)/(SUM($AD26:$BG26))))))</f>
        <v xml:space="preserve"> </v>
      </c>
      <c r="AS29" s="52" t="str">
        <f ca="1">IF(AS9&gt;WEEKNUM(TODAY())," ",IF(AND(AS10="x",SUM($AD28:AS28)&gt;$AD26),V9-(SUM($AD28:AS28)/SUM($AD26:$BG26)),IF(SUM($AD28:AS28)&gt;=$AD26," ",V9-(SUM($AD28:AS28)/(SUM($AD26:$BG26))))))</f>
        <v xml:space="preserve"> </v>
      </c>
      <c r="AT29" s="52" t="str">
        <f ca="1">IF(AT9&gt;WEEKNUM(TODAY())," ",IF(AND(AT10="x",SUM($AD28:AT28)&gt;$AD26),W9-(SUM($AD28:AT28)/SUM($AD26:$BG26)),IF(SUM($AD28:AT28)&gt;=$AD26," ",W9-(SUM($AD28:AT28)/(SUM($AD26:$BG26))))))</f>
        <v xml:space="preserve"> </v>
      </c>
      <c r="AU29" s="52" t="str">
        <f ca="1">IF(AU9&gt;WEEKNUM(TODAY())," ",IF(AND(AU10="x",SUM($AD28:AU28)&gt;$AD26),X9-(SUM($AD28:AU28)/SUM($AD26:$BG26)),IF(SUM($AD28:AU28)&gt;=$AD26," ",X9-(SUM($AD28:AU28)/(SUM($AD26:$BG26))))))</f>
        <v xml:space="preserve"> </v>
      </c>
      <c r="AV29" s="52" t="str">
        <f ca="1">IF(AV9&gt;WEEKNUM(TODAY())," ",IF(AND(AV10="x",SUM($AD28:AV28)&gt;$AD26),Y9-(SUM($AD28:AV28)/SUM($AD26:$BG26)),IF(SUM($AD28:AV28)&gt;=$AD26," ",Y9-(SUM($AD28:AV28)/(SUM($AD26:$BG26))))))</f>
        <v xml:space="preserve"> </v>
      </c>
      <c r="AW29" s="52" t="str">
        <f ca="1">IF(AW9&gt;WEEKNUM(TODAY())," ",IF(AND(AW10="x",SUM($AD28:AW28)&gt;$AD26),Z9-(SUM($AD28:AW28)/SUM($AD26:$BG26)),IF(SUM($AD28:AW28)&gt;=$AD26," ",Z9-(SUM($AD28:AW28)/(SUM($AD26:$BG26))))))</f>
        <v xml:space="preserve"> </v>
      </c>
      <c r="AX29" s="52" t="str">
        <f ca="1">IF(AX9&gt;WEEKNUM(TODAY())," ",IF(AND(AX10="x",SUM($AD28:AX28)&gt;$AD26),AA9-(SUM($AD28:AX28)/SUM($AD26:$BG26)),IF(SUM($AD28:AX28)&gt;=$AD26," ",AA9-(SUM($AD28:AX28)/(SUM($AD26:$BG26))))))</f>
        <v xml:space="preserve"> </v>
      </c>
      <c r="AY29" s="52" t="str">
        <f ca="1">IF(AY9&gt;WEEKNUM(TODAY())," ",IF(AND(AY10="x",SUM($AD28:AY28)&gt;$AD26),AB9-(SUM($AD28:AY28)/SUM($AD26:$BG26)),IF(SUM($AD28:AY28)&gt;=$AD26," ",AB9-(SUM($AD28:AY28)/(SUM($AD26:$BG26))))))</f>
        <v xml:space="preserve"> </v>
      </c>
      <c r="AZ29" s="52" t="str">
        <f ca="1">IF(AZ9&gt;WEEKNUM(TODAY())," ",IF(AND(AZ10="x",SUM($AD28:AZ28)&gt;$AD26),AC9-(SUM($AD28:AZ28)/SUM($AD26:$BG26)),IF(SUM($AD28:AZ28)&gt;=$AD26," ",AC9-(SUM($AD28:AZ28)/(SUM($AD26:$BG26))))))</f>
        <v xml:space="preserve"> </v>
      </c>
      <c r="BA29" s="52" t="str">
        <f ca="1">IF(BA9&gt;WEEKNUM(TODAY())," ",IF(AND(BA10="x",SUM($AD28:BA28)&gt;$AD26),AD9-(SUM($AD28:BA28)/SUM($AD26:$BG26)),IF(SUM($AD28:BA28)&gt;=$AD26," ",AD9-(SUM($AD28:BA28)/(SUM($AD26:$BG26))))))</f>
        <v xml:space="preserve"> </v>
      </c>
      <c r="BB29" s="52" t="str">
        <f ca="1">IF(BB9&gt;WEEKNUM(TODAY())," ",IF(AND(BB10="x",SUM($AD28:BB28)&gt;$AD26),AE9-(SUM($AD28:BB28)/SUM($AD26:$BG26)),IF(SUM($AD28:BB28)&gt;=$AD26," ",AE9-(SUM($AD28:BB28)/(SUM($AD26:$BG26))))))</f>
        <v xml:space="preserve"> </v>
      </c>
      <c r="BC29" s="52" t="str">
        <f ca="1">IF(BC9&gt;WEEKNUM(TODAY())," ",IF(AND(BC10="x",SUM($AD28:BC28)&gt;$AD26),AF9-(SUM($AD28:BC28)/SUM($AD26:$BG26)),IF(SUM($AD28:BC28)&gt;=$AD26," ",AF9-(SUM($AD28:BC28)/(SUM($AD26:$BG26))))))</f>
        <v xml:space="preserve"> </v>
      </c>
      <c r="BD29" s="52" t="str">
        <f ca="1">IF(BD9&gt;WEEKNUM(TODAY())," ",IF(AND(BD10="x",SUM($AD28:BD28)&gt;$AD26),AG9-(SUM($AD28:BD28)/SUM($AD26:$BG26)),IF(SUM($AD28:BD28)&gt;=$AD26," ",AG9-(SUM($AD28:BD28)/(SUM($AD26:$BG26))))))</f>
        <v xml:space="preserve"> </v>
      </c>
      <c r="BE29" s="52" t="str">
        <f ca="1">IF(BE9&gt;WEEKNUM(TODAY())," ",IF(AND(BE10="x",SUM($AD28:BE28)&gt;$AD26),AH9-(SUM($AD28:BE28)/SUM($AD26:$BG26)),IF(SUM($AD28:BE28)&gt;=$AD26," ",AH9-(SUM($AD28:BE28)/(SUM($AD26:$BG26))))))</f>
        <v xml:space="preserve"> </v>
      </c>
      <c r="BF29" s="52" t="str">
        <f ca="1">IF(BF9&gt;WEEKNUM(TODAY())," ",IF(AND(BF10="x",SUM($AD28:BF28)&gt;$AD26),AI9-(SUM($AD28:BF28)/SUM($AD26:$BG26)),IF(SUM($AD28:BF28)&gt;=$AD26," ",AI9-(SUM($AD28:BF28)/(SUM($AD26:$BG26))))))</f>
        <v xml:space="preserve"> </v>
      </c>
      <c r="BG29" s="52" t="str">
        <f ca="1">IF(BG9&gt;WEEKNUM(TODAY())," ",IF(AND(BG10="x",SUM($AD28:BG28)&gt;$AD26),AJ9-(SUM($AD28:BG28)/SUM($AD26:$BG26)),IF(SUM($AD28:BG28)&gt;$AD26," ",AJ9-(SUM($AD28:BG28)/(SUM($AD26:$BG26))))))</f>
        <v xml:space="preserve"> </v>
      </c>
      <c r="BH29" s="21"/>
    </row>
    <row r="30" spans="2:60" ht="16.2" thickBot="1" x14ac:dyDescent="0.35">
      <c r="B30" s="70"/>
      <c r="C30" s="79"/>
      <c r="D30" s="84"/>
      <c r="E30" s="57"/>
      <c r="F30" s="117"/>
      <c r="H30" s="49" t="str">
        <f>IF(H26= " ", " ",IF(H28&gt;SUM($H26:$BG26), " N/A", IF(SUM($H28:$BG28)=SUM($H26:BG26), " ", IF(H28=SUM($H26:BG26), " ", "x"))))</f>
        <v xml:space="preserve"> </v>
      </c>
      <c r="I30" s="50" t="str">
        <f>IF(SUM($H28:I28) &gt; SUM($H26:I26),  " N/A", IF(SUM($H28:$BG28) = SUM($H26:$BH26),    " ",IF(I28 = SUM($H26:$BH26),  " ",   "x")))</f>
        <v xml:space="preserve"> </v>
      </c>
      <c r="J30" s="50" t="str">
        <f>IF(SUM($H28:J28) &gt; SUM($H26:J26),  " N/A", IF(SUM($H28:$BG28) = SUM($H26:$BH26),    " ",IF(J28 = SUM($H26:$BH26),  " ",   "x")))</f>
        <v xml:space="preserve"> </v>
      </c>
      <c r="K30" s="50" t="str">
        <f>IF(SUM($H28:K28) &gt; SUM($H26:K26),  " N/A", IF(SUM($H28:$BG28) = SUM($H26:$BH26),    " ",IF(K28 = SUM($H26:$BH26),  " ",   "x")))</f>
        <v xml:space="preserve"> </v>
      </c>
      <c r="L30" s="44" t="str">
        <f>IF(L26= " ", " ",IF(L28&gt;SUM($H26:$BG26), " N/A", IF(SUM($H28:$BG28)=SUM($H26:BJ26), " ", IF(L28=SUM($H26:BJ26), " ", "x"))))</f>
        <v xml:space="preserve"> </v>
      </c>
      <c r="M30" s="44" t="str">
        <f>IF(M26= " ", " ",IF(M28&gt;SUM($H26:$BG26), " N/A", IF(SUM($H28:$BG28)=SUM($H26:BK26), " ", IF(M28=SUM($H26:BK26), " ", "x"))))</f>
        <v xml:space="preserve"> </v>
      </c>
      <c r="N30" s="44" t="str">
        <f>IF(N26= " ", " ",IF(N28&gt;SUM($H26:$BG26), " N/A", IF(SUM($H28:$BG28)=SUM($H26:BL26), " ", IF(N28=SUM($H26:BL26), " ", "x"))))</f>
        <v xml:space="preserve"> </v>
      </c>
      <c r="O30" s="44" t="str">
        <f>IF(O26= " ", " ",IF(O28&gt;SUM($H26:$BG26), " N/A", IF(SUM($H28:$BG28)=SUM($H26:BM26), " ", IF(O28=SUM($H26:BM26), " ", "x"))))</f>
        <v xml:space="preserve"> </v>
      </c>
      <c r="P30" s="44" t="str">
        <f>IF(P26= " ", " ",IF(P28&gt;SUM($H26:$BG26), " N/A", IF(SUM($H28:$BG28)=SUM($H26:BN26), " ", IF(P28=SUM($H26:BN26), " ", "x"))))</f>
        <v xml:space="preserve"> </v>
      </c>
      <c r="Q30" s="44" t="str">
        <f>IF(Q26= " ", " ",IF(Q28&gt;SUM($H26:$BG26), " N/A", IF(SUM($H28:$BG28)=SUM($H26:BO26), " ", IF(Q28=SUM($H26:BO26), " ", "x"))))</f>
        <v xml:space="preserve"> </v>
      </c>
      <c r="R30" s="44" t="str">
        <f>IF(R26= " ", " ",IF(R28&gt;SUM($H26:$BG26), " N/A", IF(SUM($H28:$BG28)=SUM($H26:BP26), " ", IF(R28=SUM($H26:BP26), " ", "x"))))</f>
        <v xml:space="preserve"> </v>
      </c>
      <c r="S30" s="44" t="str">
        <f>IF(S26= " ", " ",IF(S28&gt;SUM($H26:$BG26), " N/A", IF(SUM($H28:$BG28)=SUM($H26:BQ26), " ", IF(S28=SUM($H26:BQ26), " ", "x"))))</f>
        <v xml:space="preserve"> </v>
      </c>
      <c r="T30" s="44" t="str">
        <f>IF(T26= " ", " ",IF(T28&gt;SUM($H26:$BG26), " N/A", IF(SUM($H28:$BG28)=SUM($H26:BR26), " ", IF(T28=SUM($H26:BR26), " ", "x"))))</f>
        <v xml:space="preserve"> </v>
      </c>
      <c r="U30" s="44" t="str">
        <f>IF(U26= " ", " ",IF(U28&gt;SUM($H26:$BG26), " N/A", IF(SUM($H28:$BG28)=SUM($H26:BS26), " ", IF(U28=SUM($H26:BS26), " ", "x"))))</f>
        <v xml:space="preserve"> </v>
      </c>
      <c r="V30" s="44" t="str">
        <f>IF(V26= " ", " ",IF(V28&gt;SUM($H26:$BG26), " N/A", IF(SUM($H28:$BG28)=SUM($H26:BT26), " ", IF(V28=SUM($H26:BT26), " ", "x"))))</f>
        <v xml:space="preserve"> </v>
      </c>
      <c r="W30" s="44" t="str">
        <f>IF(W26= " ", " ",IF(W28&gt;SUM($H26:$BG26), " N/A", IF(SUM($H28:$BG28)=SUM($H26:BU26), " ", IF(W28=SUM($H26:BU26), " ", "x"))))</f>
        <v xml:space="preserve"> </v>
      </c>
      <c r="X30" s="44" t="str">
        <f>IF(X26= " ", " ",IF(X28&gt;SUM($H26:$BG26), " N/A", IF(SUM($H28:$BG28)=SUM($H26:BV26), " ", IF(X28=SUM($H26:BV26), " ", "x"))))</f>
        <v xml:space="preserve"> </v>
      </c>
      <c r="Y30" s="44" t="str">
        <f>IF(Y26= " ", " ",IF(Y28&gt;SUM($H26:$BG26), " N/A", IF(SUM($H28:$BG28)=SUM($H26:BW26), " ", IF(Y28=SUM($H26:BW26), " ", "x"))))</f>
        <v xml:space="preserve"> </v>
      </c>
      <c r="Z30" s="44" t="str">
        <f>IF(Z26= " ", " ",IF(Z28&gt;SUM($H26:$BG26), " N/A", IF(SUM($H28:$BG28)=SUM($H26:BX26), " ", IF(Z28=SUM($H26:BX26), " ", "x"))))</f>
        <v xml:space="preserve"> </v>
      </c>
      <c r="AA30" s="44" t="str">
        <f>IF(AA26= " ", " ",IF(AA28&gt;SUM($H26:$BG26), " N/A", IF(SUM($H28:$BG28)=SUM($H26:BY26), " ", IF(AA28=SUM($H26:BY26), " ", "x"))))</f>
        <v xml:space="preserve"> </v>
      </c>
      <c r="AB30" s="44" t="str">
        <f>IF(AB26= " ", " ",IF(AB28&gt;SUM($H26:$BG26), " N/A", IF(SUM($H28:$BG28)=SUM($H26:BZ26), " ", IF(AB28=SUM($H26:BZ26), " ", "x"))))</f>
        <v xml:space="preserve"> </v>
      </c>
      <c r="AC30" s="44" t="str">
        <f>IF(AC26= " ", " ",IF(AC28&gt;SUM($H26:$BG26), " N/A", IF(SUM($H28:$BG28)=SUM($H26:CA26), " ", IF(AC28=SUM($H26:CA26), " ", "x"))))</f>
        <v xml:space="preserve"> </v>
      </c>
      <c r="AD30" s="44" t="str">
        <f>IF(AD26= " ", " ",IF(AD28&gt;SUM($H26:$BG26), " N/A", IF(SUM($H28:$BG28)=SUM($H26:CB26), " ", IF(AD28=SUM($H26:CB26), " ", "x"))))</f>
        <v xml:space="preserve"> </v>
      </c>
      <c r="AE30" s="44" t="str">
        <f>IF(AE26= " ", " ",IF(AE28&gt;SUM($H26:$BG26), " N/A", IF(SUM($H28:$BG28)=SUM($H26:CC26), " ", IF(AE28=SUM($H26:CC26), " ", "x"))))</f>
        <v xml:space="preserve"> </v>
      </c>
      <c r="AF30" s="44" t="str">
        <f>IF(AF26= " ", " ",IF(AF28&gt;SUM($H26:$BG26), " N/A", IF(SUM($H28:$BG28)=SUM($H26:CD26), " ", IF(AF28=SUM($H26:CD26), " ", "x"))))</f>
        <v xml:space="preserve"> </v>
      </c>
      <c r="AG30" s="44" t="str">
        <f>IF(AG26= " ", " ",IF(AG28&gt;SUM($H26:$BG26), " N/A", IF(SUM($H28:$BG28)=SUM($H26:CE26), " ", IF(AG28=SUM($H26:CE26), " ", "x"))))</f>
        <v xml:space="preserve"> </v>
      </c>
      <c r="AH30" s="44" t="str">
        <f>IF(AH26= " ", " ",IF(AH28&gt;SUM($H26:$BG26), " N/A", IF(SUM($H28:$BG28)=SUM($H26:CF26), " ", IF(AH28=SUM($H26:CF26), " ", "x"))))</f>
        <v xml:space="preserve"> </v>
      </c>
      <c r="AI30" s="44" t="str">
        <f>IF(AI26= " ", " ",IF(AI28&gt;SUM($H26:$BG26), " N/A", IF(SUM($H28:$BG28)=SUM($H26:CG26), " ", IF(AI28=SUM($H26:CG26), " ", "x"))))</f>
        <v xml:space="preserve"> </v>
      </c>
      <c r="AJ30" s="44" t="str">
        <f>IF(AJ26= " ", " ",IF(AJ28&gt;SUM($H26:$BG26), " N/A", IF(SUM($H28:$BG28)=SUM($H26:CH26), " ", IF(AJ28=SUM($H26:CH26), " ", "x"))))</f>
        <v xml:space="preserve"> </v>
      </c>
      <c r="AK30" s="44" t="str">
        <f>IF(AK26= " ", " ",IF(AK28&gt;SUM($H26:$BG26), " N/A", IF(SUM($H28:$BG28)=SUM($H26:CI26), " ", IF(AK28=SUM($H26:CI26), " ", "x"))))</f>
        <v xml:space="preserve"> </v>
      </c>
      <c r="AL30" s="44" t="str">
        <f>IF(AL26= " ", " ",IF(AL28&gt;SUM($H26:$BG26), " N/A", IF(SUM($H28:$BG28)=SUM($H26:CJ26), " ", IF(AL28=SUM($H26:CJ26), " ", "x"))))</f>
        <v xml:space="preserve"> </v>
      </c>
      <c r="AM30" s="44" t="str">
        <f>IF(AM26= " ", " ",IF(AM28&gt;SUM($H26:$BG26), " N/A", IF(SUM($H28:$BG28)=SUM($H26:CK26), " ", IF(AM28=SUM($H26:CK26), " ", "x"))))</f>
        <v xml:space="preserve"> </v>
      </c>
      <c r="AN30" s="44" t="str">
        <f>IF(AN26= " ", " ",IF(AN28&gt;SUM($H26:$BG26), " N/A", IF(SUM($H28:$BG28)=SUM($H26:CL26), " ", IF(AN28=SUM($H26:CL26), " ", "x"))))</f>
        <v xml:space="preserve"> </v>
      </c>
      <c r="AO30" s="44" t="str">
        <f>IF(AO26= " ", " ",IF(AO28&gt;SUM($H26:$BG26), " N/A", IF(SUM($H28:$BG28)=SUM($H26:CM26), " ", IF(AO28=SUM($H26:CM26), " ", "x"))))</f>
        <v xml:space="preserve"> </v>
      </c>
      <c r="AP30" s="44" t="str">
        <f>IF(AP26= " ", " ",IF(AP28&gt;SUM($H26:$BG26), " N/A", IF(SUM($H28:$BG28)=SUM($H26:CN26), " ", IF(AP28=SUM($H26:CN26), " ", "x"))))</f>
        <v xml:space="preserve"> </v>
      </c>
      <c r="AQ30" s="44" t="str">
        <f>IF(AQ26= " ", " ",IF(AQ28&gt;SUM($H26:$BG26), " N/A", IF(SUM($H28:$BG28)=SUM($H26:CO26), " ", IF(AQ28=SUM($H26:CO26), " ", "x"))))</f>
        <v xml:space="preserve"> </v>
      </c>
      <c r="AR30" s="44" t="str">
        <f>IF(AR26= " ", " ",IF(AR28&gt;SUM($H26:$BG26), " N/A", IF(SUM($H28:$BG28)=SUM($H26:CP26), " ", IF(AR28=SUM($H26:CP26), " ", "x"))))</f>
        <v xml:space="preserve"> </v>
      </c>
      <c r="AS30" s="44" t="str">
        <f>IF(AS26= " ", " ",IF(AS28&gt;SUM($H26:$BG26), " N/A", IF(SUM($H28:$BG28)=SUM($H26:CQ26), " ", IF(AS28=SUM($H26:CQ26), " ", "x"))))</f>
        <v xml:space="preserve"> </v>
      </c>
      <c r="AT30" s="44" t="str">
        <f>IF(AT26= " ", " ",IF(AT28&gt;SUM($H26:$BG26), " N/A", IF(SUM($H28:$BG28)=SUM($H26:CR26), " ", IF(AT28=SUM($H26:CR26), " ", "x"))))</f>
        <v xml:space="preserve"> </v>
      </c>
      <c r="AU30" s="44" t="str">
        <f>IF(AU26= " ", " ",IF(AU28&gt;SUM($H26:$BG26), " N/A", IF(SUM($H28:$BG28)=SUM($H26:CS26), " ", IF(AU28=SUM($H26:CS26), " ", "x"))))</f>
        <v xml:space="preserve"> </v>
      </c>
      <c r="AV30" s="44" t="str">
        <f>IF(AV26= " ", " ",IF(AV28&gt;SUM($H26:$BG26), " N/A", IF(SUM($H28:$BG28)=SUM($H26:CT26), " ", IF(AV28=SUM($H26:CT26), " ", "x"))))</f>
        <v xml:space="preserve"> </v>
      </c>
      <c r="AW30" s="44" t="str">
        <f>IF(AW26= " ", " ",IF(AW28&gt;SUM($H26:$BG26), " N/A", IF(SUM($H28:$BG28)=SUM($H26:CU26), " ", IF(AW28=SUM($H26:CU26), " ", "x"))))</f>
        <v xml:space="preserve"> </v>
      </c>
      <c r="AX30" s="44" t="str">
        <f>IF(AX26= " ", " ",IF(AX28&gt;SUM($H26:$BG26), " N/A", IF(SUM($H28:$BG28)=SUM($H26:CV26), " ", IF(AX28=SUM($H26:CV26), " ", "x"))))</f>
        <v xml:space="preserve"> </v>
      </c>
      <c r="AY30" s="44" t="str">
        <f>IF(AY26= " ", " ",IF(AY28&gt;SUM($H26:$BG26), " N/A", IF(SUM($H28:$BG28)=SUM($H26:CW26), " ", IF(AY28=SUM($H26:CW26), " ", "x"))))</f>
        <v xml:space="preserve"> </v>
      </c>
      <c r="AZ30" s="44" t="str">
        <f>IF(AZ26= " ", " ",IF(AZ28&gt;SUM($H26:$BG26), " N/A", IF(SUM($H28:$BG28)=SUM($H26:CX26), " ", IF(AZ28=SUM($H26:CX26), " ", "x"))))</f>
        <v xml:space="preserve"> </v>
      </c>
      <c r="BA30" s="44" t="str">
        <f>IF(BA26= " ", " ",IF(BA28&gt;SUM($H26:$BG26), " N/A", IF(SUM($H28:$BG28)=SUM($H26:CY26), " ", IF(BA28=SUM($H26:CY26), " ", "x"))))</f>
        <v xml:space="preserve"> </v>
      </c>
      <c r="BB30" s="44" t="str">
        <f>IF(BB26= " ", " ",IF(BB28&gt;SUM($H26:$BG26), " N/A", IF(SUM($H28:$BG28)=SUM($H26:CZ26), " ", IF(BB28=SUM($H26:CZ26), " ", "x"))))</f>
        <v xml:space="preserve"> </v>
      </c>
      <c r="BC30" s="44" t="str">
        <f>IF(BC26= " ", " ",IF(BC28&gt;SUM($H26:$BG26), " N/A", IF(SUM($H28:$BG28)=SUM($H26:DA26), " ", IF(BC28=SUM($H26:DA26), " ", "x"))))</f>
        <v xml:space="preserve"> </v>
      </c>
      <c r="BD30" s="44" t="str">
        <f>IF(BD26= " ", " ",IF(BD28&gt;SUM($H26:$BG26), " N/A", IF(SUM($H28:$BG28)=SUM($H26:DB26), " ", IF(BD28=SUM($H26:DB26), " ", "x"))))</f>
        <v xml:space="preserve"> </v>
      </c>
      <c r="BE30" s="44" t="str">
        <f>IF(BE26= " ", " ",IF(BE28&gt;SUM($H26:$BG26), " N/A", IF(SUM($H28:$BG28)=SUM($H26:DC26), " ", IF(BE28=SUM($H26:DC26), " ", "x"))))</f>
        <v xml:space="preserve"> </v>
      </c>
      <c r="BF30" s="44" t="str">
        <f>IF(BF26= " ", " ",IF(BF28&gt;SUM($H26:$BG26), " N/A", IF(SUM($H28:$BG28)=SUM($H26:DD26), " ", IF(BF28=SUM($H26:DD26), " ", "x"))))</f>
        <v xml:space="preserve"> </v>
      </c>
      <c r="BG30" s="44" t="str">
        <f>IF(BG26= " ", " ",IF(BG28&gt;SUM($H26:$BG26), " N/A", IF(SUM($H28:$BG28)=SUM($H26:DE26), " ", IF(BG28=SUM($H26:DE26), " ", "x"))))</f>
        <v xml:space="preserve"> </v>
      </c>
      <c r="BH30" s="21"/>
    </row>
    <row r="31" spans="2:60" ht="15.6" x14ac:dyDescent="0.3">
      <c r="B31" s="71"/>
      <c r="C31" s="77"/>
      <c r="D31" s="82" t="s">
        <v>249</v>
      </c>
      <c r="E31" s="54">
        <f>SUM(H31:BG31)</f>
        <v>41</v>
      </c>
      <c r="F31" s="115">
        <f>Gant_24!$E31-E33</f>
        <v>0</v>
      </c>
      <c r="H31" s="41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>
        <v>41</v>
      </c>
      <c r="AE31" s="51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2"/>
      <c r="BF31" s="42"/>
      <c r="BG31" s="42"/>
      <c r="BH31" s="21"/>
    </row>
    <row r="32" spans="2:60" ht="15.6" x14ac:dyDescent="0.3">
      <c r="B32" s="68"/>
      <c r="C32" s="78"/>
      <c r="D32" s="83" t="s">
        <v>261</v>
      </c>
      <c r="E32" s="55">
        <f>SUM(H32:BG32)</f>
        <v>0</v>
      </c>
      <c r="F32" s="116"/>
      <c r="H32" s="43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50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  <c r="BF32" s="44"/>
      <c r="BG32" s="44"/>
      <c r="BH32" s="21"/>
    </row>
    <row r="33" spans="2:60" ht="15.6" x14ac:dyDescent="0.3">
      <c r="B33" s="68" t="s">
        <v>48</v>
      </c>
      <c r="C33" s="78" t="s">
        <v>49</v>
      </c>
      <c r="D33" s="83" t="s">
        <v>241</v>
      </c>
      <c r="E33" s="55">
        <f>SUM(H33:BG33)</f>
        <v>41</v>
      </c>
      <c r="F33" s="116"/>
      <c r="H33" s="45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>
        <v>41</v>
      </c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21"/>
    </row>
    <row r="34" spans="2:60" ht="15.6" x14ac:dyDescent="0.3">
      <c r="B34" s="68"/>
      <c r="C34" s="78"/>
      <c r="D34" s="83" t="s">
        <v>278</v>
      </c>
      <c r="E34" s="56">
        <f ca="1">MAX(H34:BG34)</f>
        <v>0</v>
      </c>
      <c r="F34" s="116"/>
      <c r="H34" s="47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 t="str">
        <f>IF(SUM(H31:BG31) = AD33, " 0 ", " ")</f>
        <v xml:space="preserve"> </v>
      </c>
      <c r="AE34" s="52" t="str">
        <f ca="1">IF(AE9&gt;WEEKNUM(TODAY())," ",IF(AND(AE10="x",SUM($AD33:AE33)&gt;$AD31),H9-(SUM($AD33:AE33)/SUM($AD31:$BG31)),IF(SUM($AD33:AE33)&gt;=$AD31," ",H9-(SUM($AD33:AE33)/(SUM($AD31:$BG31))))))</f>
        <v xml:space="preserve"> </v>
      </c>
      <c r="AF34" s="52" t="str">
        <f ca="1">IF(AF9&gt;WEEKNUM(TODAY())," ", IF(AF10="x",I9-(SUM($AD33:AF33)/SUM($AD31:$BG31)),IF(SUM($AD33:AF33)&gt;$AD31," ",I9-(SUM($AD33:AF33)/(SUM($AD31:$BG31))))))</f>
        <v xml:space="preserve"> </v>
      </c>
      <c r="AG34" s="52" t="str">
        <f ca="1">IF(AG9&gt;WEEKNUM(TODAY())," ", IF(AG10="x",J9-(SUM($AD33:AG33)/SUM($AD31:$BG31)),IF(SUM($AD33:AG33)&gt;$AD31," ",J9-(SUM($AD33:AG33)/(SUM($AD31:$BG31))))))</f>
        <v xml:space="preserve"> </v>
      </c>
      <c r="AH34" s="52" t="str">
        <f ca="1">IF(AH9&gt;WEEKNUM(TODAY())," ", IF(AH10="x",K9-(SUM($AD33:AH33)/SUM($AD31:$BG31)),IF(SUM($AD33:AH33)&gt;$AD31," ",K9-(SUM($AD33:AH33)/(SUM($AD31:$BG31))))))</f>
        <v xml:space="preserve"> </v>
      </c>
      <c r="AI34" s="52" t="str">
        <f ca="1">IF(AI9&gt;WEEKNUM(TODAY())," ", IF(AI10="x",L9-(SUM($AD33:AI33)/SUM($AD31:$BG31)),IF(SUM($AD33:AI33)&gt;$AD31," ",L9-(SUM($AD33:AI33)/(SUM($AD31:$BG31))))))</f>
        <v xml:space="preserve"> </v>
      </c>
      <c r="AJ34" s="52" t="str">
        <f ca="1">IF(AJ9&gt;WEEKNUM(TODAY())," ", IF(AJ10="x",M9-(SUM($AD33:AJ33)/SUM($AD31:$BG31)),IF(SUM($AD33:AJ33)&gt;$AD31," ",M9-(SUM($AD33:AJ33)/(SUM($AD31:$BG31))))))</f>
        <v xml:space="preserve"> </v>
      </c>
      <c r="AK34" s="52" t="str">
        <f ca="1">IF(AK9&gt;WEEKNUM(TODAY())," ", IF(AK10="x",N9-(SUM($AD33:AK33)/SUM($AD31:$BG31)),IF(SUM($AD33:AK33)&gt;$AD31," ",N9-(SUM($AD33:AK33)/(SUM($AD31:$BG31))))))</f>
        <v xml:space="preserve"> </v>
      </c>
      <c r="AL34" s="52" t="str">
        <f ca="1">IF(AL9&gt;WEEKNUM(TODAY())," ", IF(AL10="x",O9-(SUM($AD33:AL33)/SUM($AD31:$BG31)),IF(SUM($AD33:AL33)&gt;$AD31," ",O9-(SUM($AD33:AL33)/(SUM($AD31:$BG31))))))</f>
        <v xml:space="preserve"> </v>
      </c>
      <c r="AM34" s="52" t="str">
        <f ca="1">IF(AM9&gt;WEEKNUM(TODAY())," ", IF(AM10="x",P9-(SUM($AD33:AM33)/SUM($AD31:$BG31)),IF(SUM($AD33:AM33)&gt;$AD31," ",P9-(SUM($AD33:AM33)/(SUM($AD31:$BG31))))))</f>
        <v xml:space="preserve"> </v>
      </c>
      <c r="AN34" s="52" t="str">
        <f ca="1">IF(AN9&gt;WEEKNUM(TODAY())," ", IF(AN10="x",Q9-(SUM($AD33:AN33)/SUM($AD31:$BG31)),IF(SUM($AD33:AN33)&gt;$AD31," ",Q9-(SUM($AD33:AN33)/(SUM($AD31:$BG31))))))</f>
        <v xml:space="preserve"> </v>
      </c>
      <c r="AO34" s="52" t="str">
        <f ca="1">IF(AO9&gt;WEEKNUM(TODAY())," ", IF(AO10="x",R9-(SUM($AD33:AO33)/SUM($AD31:$BG31)),IF(SUM($AD33:AO33)&gt;$AD31," ",R9-(SUM($AD33:AO33)/(SUM($AD31:$BG31))))))</f>
        <v xml:space="preserve"> </v>
      </c>
      <c r="AP34" s="52" t="str">
        <f ca="1">IF(AP9&gt;WEEKNUM(TODAY())," ", IF(AP10="x",S9-(SUM($AD33:AP33)/SUM($AD31:$BG31)),IF(SUM($AD33:AP33)&gt;$AD31," ",S9-(SUM($AD33:AP33)/(SUM($AD31:$BG31))))))</f>
        <v xml:space="preserve"> </v>
      </c>
      <c r="AQ34" s="52" t="str">
        <f ca="1">IF(AQ9&gt;WEEKNUM(TODAY())," ", IF(AQ10="x",T9-(SUM($AD33:AQ33)/SUM($AD31:$BG31)),IF(SUM($AD33:AQ33)&gt;$AD31," ",T9-(SUM($AD33:AQ33)/(SUM($AD31:$BG31))))))</f>
        <v xml:space="preserve"> </v>
      </c>
      <c r="AR34" s="52" t="str">
        <f ca="1">IF(AR9&gt;WEEKNUM(TODAY())," ", IF(AR10="x",U9-(SUM($AD33:AR33)/SUM($AD31:$BG31)),IF(SUM($AD33:AR33)&gt;$AD31," ",U9-(SUM($AD33:AR33)/(SUM($AD31:$BG31))))))</f>
        <v xml:space="preserve"> </v>
      </c>
      <c r="AS34" s="52" t="str">
        <f ca="1">IF(AS9&gt;WEEKNUM(TODAY())," ", IF(AS10="x",V9-(SUM($AD33:AS33)/SUM($AD31:$BG31)),IF(SUM($AD33:AS33)&gt;$AD31," ",V9-(SUM($AD33:AS33)/(SUM($AD31:$BG31))))))</f>
        <v xml:space="preserve"> </v>
      </c>
      <c r="AT34" s="52" t="str">
        <f ca="1">IF(AT9&gt;WEEKNUM(TODAY())," ", IF(AT10="x",W9-(SUM($AD33:AT33)/SUM($AD31:$BG31)),IF(SUM($AD33:AT33)&gt;$AD31," ",W9-(SUM($AD33:AT33)/(SUM($AD31:$BG31))))))</f>
        <v xml:space="preserve"> </v>
      </c>
      <c r="AU34" s="52" t="str">
        <f ca="1">IF(AU9&gt;WEEKNUM(TODAY())," ", IF(AU10="x",X9-(SUM($AD33:AU33)/SUM($AD31:$BG31)),IF(SUM($AD33:AU33)&gt;$AD31," ",X9-(SUM($AD33:AU33)/(SUM($AD31:$BG31))))))</f>
        <v xml:space="preserve"> </v>
      </c>
      <c r="AV34" s="52" t="str">
        <f ca="1">IF(AV9&gt;WEEKNUM(TODAY())," ", IF(AV10="x",Y9-(SUM($AD33:AV33)/SUM($AD31:$BG31)),IF(SUM($AD33:AV33)&gt;$AD31," ",Y9-(SUM($AD33:AV33)/(SUM($AD31:$BG31))))))</f>
        <v xml:space="preserve"> </v>
      </c>
      <c r="AW34" s="52" t="str">
        <f ca="1">IF(AW9&gt;WEEKNUM(TODAY())," ", IF(AW10="x",Z9-(SUM($AD33:AW33)/SUM($AD31:$BG31)),IF(SUM($AD33:AW33)&gt;$AD31," ",Z9-(SUM($AD33:AW33)/(SUM($AD31:$BG31))))))</f>
        <v xml:space="preserve"> </v>
      </c>
      <c r="AX34" s="52" t="str">
        <f ca="1">IF(AX9&gt;WEEKNUM(TODAY())," ", IF(AX10="x",AA9-(SUM($AD33:AX33)/SUM($AD31:$BG31)),IF(SUM($AD33:AX33)&gt;$AD31," ",AA9-(SUM($AD33:AX33)/(SUM($AD31:$BG31))))))</f>
        <v xml:space="preserve"> </v>
      </c>
      <c r="AY34" s="52" t="str">
        <f ca="1">IF(AY9&gt;WEEKNUM(TODAY())," ", IF(AY10="x",AB9-(SUM($AD33:AY33)/SUM($AD31:$BG31)),IF(SUM($AD33:AY33)&gt;$AD31," ",AB9-(SUM($AD33:AY33)/(SUM($AD31:$BG31))))))</f>
        <v xml:space="preserve"> </v>
      </c>
      <c r="AZ34" s="52" t="str">
        <f ca="1">IF(AZ9&gt;WEEKNUM(TODAY())," ", IF(AZ10="x",AC9-(SUM($AD33:AZ33)/SUM($AD31:$BG31)),IF(SUM($AD33:AZ33)&gt;$AD31," ",AC9-(SUM($AD33:AZ33)/(SUM($AD31:$BG31))))))</f>
        <v xml:space="preserve"> </v>
      </c>
      <c r="BA34" s="52" t="str">
        <f ca="1">IF(BA9&gt;WEEKNUM(TODAY())," ", IF(BA10="x",AD9-(SUM($AD33:BA33)/SUM($AD31:$BG31)),IF(SUM($AD33:BA33)&gt;$AD31," ",AD9-(SUM($AD33:BA33)/(SUM($AD31:$BG31))))))</f>
        <v xml:space="preserve"> </v>
      </c>
      <c r="BB34" s="52" t="str">
        <f ca="1">IF(BB9&gt;WEEKNUM(TODAY())," ", IF(BB10="x",AE9-(SUM($AD33:BB33)/SUM($AD31:$BG31)),IF(SUM($AD33:BB33)&gt;$AD31," ",AE9-(SUM($AD33:BB33)/(SUM($AD31:$BG31))))))</f>
        <v xml:space="preserve"> </v>
      </c>
      <c r="BC34" s="52" t="str">
        <f ca="1">IF(BC9&gt;WEEKNUM(TODAY())," ", IF(BC10="x",AF9-(SUM($AD33:BC33)/SUM($AD31:$BG31)),IF(SUM($AD33:BC33)&gt;$AD31," ",AF9-(SUM($AD33:BC33)/(SUM($AD31:$BG31))))))</f>
        <v xml:space="preserve"> </v>
      </c>
      <c r="BD34" s="52" t="str">
        <f ca="1">IF(BD9&gt;WEEKNUM(TODAY())," ", IF(BD10="x",AG9-(SUM($AD33:BD33)/SUM($AD31:$BG31)),IF(SUM($AD33:BD33)&gt;$AD31," ",AG9-(SUM($AD33:BD33)/(SUM($AD31:$BG31))))))</f>
        <v xml:space="preserve"> </v>
      </c>
      <c r="BE34" s="52" t="str">
        <f ca="1">IF(BE9&gt;WEEKNUM(TODAY())," ", IF(BE10="x",AH9-(SUM($AD33:BE33)/SUM($AD31:$BG31)),IF(SUM($AD33:BE33)&gt;$AD31," ",AH9-(SUM($AD33:BE33)/(SUM($AD31:$BG31))))))</f>
        <v xml:space="preserve"> </v>
      </c>
      <c r="BF34" s="52" t="str">
        <f ca="1">IF(BF9&gt;WEEKNUM(TODAY())," ", IF(BF10="x",AI9-(SUM($AD33:BF33)/SUM($AD31:$BG31)),IF(SUM($AD33:BF33)&gt;$AD31," ",AI9-(SUM($AD33:BF33)/(SUM($AD31:$BG31))))))</f>
        <v xml:space="preserve"> </v>
      </c>
      <c r="BG34" s="52" t="str">
        <f ca="1">IF(BG9&gt;WEEKNUM(TODAY())," ", IF(BG10="x",AJ9-(SUM($AD33:BG33)/SUM($AD31:$BG31)),IF(SUM($AD33:BG33)&gt;$AD31," ",AJ9-(SUM($AD33:BG33)/(SUM($AD31:$BG31))))))</f>
        <v xml:space="preserve"> </v>
      </c>
      <c r="BH34" s="21"/>
    </row>
    <row r="35" spans="2:60" ht="16.2" thickBot="1" x14ac:dyDescent="0.35">
      <c r="B35" s="70"/>
      <c r="C35" s="79"/>
      <c r="D35" s="84"/>
      <c r="E35" s="57"/>
      <c r="F35" s="117"/>
      <c r="H35" s="49" t="str">
        <f>IF(H31= " ", " ",IF(H33&gt;SUM($H31:$BG31), " N/A", IF(SUM($H33:$BG33)=SUM($H31:BG31), " ", IF(H33=SUM($H31:BG31), " ", "x"))))</f>
        <v xml:space="preserve"> </v>
      </c>
      <c r="I35" s="50" t="str">
        <f>IF(SUM($H33:I33) &gt; SUM($H31:I31),  " N/A", IF(SUM($H33:$BG33) = SUM($H31:$BH31),    " ",IF(I33 = SUM($H31:$BH31),  " ",   "x")))</f>
        <v xml:space="preserve"> </v>
      </c>
      <c r="J35" s="50" t="str">
        <f>IF(SUM($H33:J33) &gt; SUM($H31:J31),  " N/A", IF(SUM($H33:$BG33) = SUM($H31:$BH31),    " ",IF(J33 = SUM($H31:$BH31),  " ",   "x")))</f>
        <v xml:space="preserve"> </v>
      </c>
      <c r="K35" s="50" t="str">
        <f>IF(SUM($H33:K33) &gt; SUM($H31:K31),  " N/A", IF(SUM($H33:$BG33) = SUM($H31:$BH31),    " ",IF(K33 = SUM($H31:$BH31),  " ",   "x")))</f>
        <v xml:space="preserve"> </v>
      </c>
      <c r="L35" s="50" t="str">
        <f>IF(L31= " ", " ",IF(L33&gt;SUM($H31:$BG31), " N/A", IF(SUM($H33:$BG33)=SUM($H31:BJ31), " ", IF(L33=SUM($H31:BJ31), " ", "x"))))</f>
        <v xml:space="preserve"> </v>
      </c>
      <c r="M35" s="50" t="str">
        <f>IF(M31= " ", " ",IF(M33&gt;SUM($H31:$BG31), " N/A", IF(SUM($H33:$BG33)=SUM($H31:BK31), " ", IF(M33=SUM($H31:BK31), " ", "x"))))</f>
        <v xml:space="preserve"> </v>
      </c>
      <c r="N35" s="50" t="str">
        <f>IF(N31= " ", " ",IF(N33&gt;SUM($H31:$BG31), " N/A", IF(SUM($H33:$BG33)=SUM($H31:BL31), " ", IF(N33=SUM($H31:BL31), " ", "x"))))</f>
        <v xml:space="preserve"> </v>
      </c>
      <c r="O35" s="50" t="str">
        <f>IF(O31= " ", " ",IF(O33&gt;SUM($H31:$BG31), " N/A", IF(SUM($H33:$BG33)=SUM($H31:BM31), " ", IF(O33=SUM($H31:BM31), " ", "x"))))</f>
        <v xml:space="preserve"> </v>
      </c>
      <c r="P35" s="50" t="str">
        <f>IF(P31= " ", " ",IF(P33&gt;SUM($H31:$BG31), " N/A", IF(SUM($H33:$BG33)=SUM($H31:BN31), " ", IF(P33=SUM($H31:BN31), " ", "x"))))</f>
        <v xml:space="preserve"> </v>
      </c>
      <c r="Q35" s="50" t="str">
        <f>IF(Q31= " ", " ",IF(Q33&gt;SUM($H31:$BG31), " N/A", IF(SUM($H33:$BG33)=SUM($H31:BO31), " ", IF(Q33=SUM($H31:BO31), " ", "x"))))</f>
        <v xml:space="preserve"> </v>
      </c>
      <c r="R35" s="50" t="str">
        <f>IF(R31= " ", " ",IF(R33&gt;SUM($H31:$BG31), " N/A", IF(SUM($H33:$BG33)=SUM($H31:BP31), " ", IF(R33=SUM($H31:BP31), " ", "x"))))</f>
        <v xml:space="preserve"> </v>
      </c>
      <c r="S35" s="50" t="str">
        <f>IF(S31= " ", " ",IF(S33&gt;SUM($H31:$BG31), " N/A", IF(SUM($H33:$BG33)=SUM($H31:BQ31), " ", IF(S33=SUM($H31:BQ31), " ", "x"))))</f>
        <v xml:space="preserve"> </v>
      </c>
      <c r="T35" s="50" t="str">
        <f>IF(T31= " ", " ",IF(T33&gt;SUM($H31:$BG31), " N/A", IF(SUM($H33:$BG33)=SUM($H31:BR31), " ", IF(T33=SUM($H31:BR31), " ", "x"))))</f>
        <v xml:space="preserve"> </v>
      </c>
      <c r="U35" s="50" t="str">
        <f>IF(U31= " ", " ",IF(U33&gt;SUM($H31:$BG31), " N/A", IF(SUM($H33:$BG33)=SUM($H31:BS31), " ", IF(U33=SUM($H31:BS31), " ", "x"))))</f>
        <v xml:space="preserve"> </v>
      </c>
      <c r="V35" s="50" t="str">
        <f>IF(V31= " ", " ",IF(V33&gt;SUM($H31:$BG31), " N/A", IF(SUM($H33:$BG33)=SUM($H31:BT31), " ", IF(V33=SUM($H31:BT31), " ", "x"))))</f>
        <v xml:space="preserve"> </v>
      </c>
      <c r="W35" s="50" t="str">
        <f>IF(W31= " ", " ",IF(W33&gt;SUM($H31:$BG31), " N/A", IF(SUM($H33:$BG33)=SUM($H31:BU31), " ", IF(W33=SUM($H31:BU31), " ", "x"))))</f>
        <v xml:space="preserve"> </v>
      </c>
      <c r="X35" s="50" t="str">
        <f>IF(X31= " ", " ",IF(X33&gt;SUM($H31:$BG31), " N/A", IF(SUM($H33:$BG33)=SUM($H31:BV31), " ", IF(X33=SUM($H31:BV31), " ", "x"))))</f>
        <v xml:space="preserve"> </v>
      </c>
      <c r="Y35" s="50" t="str">
        <f>IF(Y31= " ", " ",IF(Y33&gt;SUM($H31:$BG31), " N/A", IF(SUM($H33:$BG33)=SUM($H31:BW31), " ", IF(Y33=SUM($H31:BW31), " ", "x"))))</f>
        <v xml:space="preserve"> </v>
      </c>
      <c r="Z35" s="50" t="str">
        <f>IF(Z31= " ", " ",IF(Z33&gt;SUM($H31:$BG31), " N/A", IF(SUM($H33:$BG33)=SUM($H31:BX31), " ", IF(Z33=SUM($H31:BX31), " ", "x"))))</f>
        <v xml:space="preserve"> </v>
      </c>
      <c r="AA35" s="50" t="str">
        <f>IF(AA31= " ", " ",IF(AA33&gt;SUM($H31:$BG31), " N/A", IF(SUM($H33:$BG33)=SUM($H31:BY31), " ", IF(AA33=SUM($H31:BY31), " ", "x"))))</f>
        <v xml:space="preserve"> </v>
      </c>
      <c r="AB35" s="50" t="str">
        <f>IF(AB31= " ", " ",IF(AB33&gt;SUM($H31:$BG31), " N/A", IF(SUM($H33:$BG33)=SUM($H31:BZ31), " ", IF(AB33=SUM($H31:BZ31), " ", "x"))))</f>
        <v xml:space="preserve"> </v>
      </c>
      <c r="AC35" s="50" t="str">
        <f>IF(AC31= " ", " ",IF(AC33&gt;SUM($H31:$BG31), " N/A", IF(SUM($H33:$BG33)=SUM($H31:CA31), " ", IF(AC33=SUM($H31:CA31), " ", "x"))))</f>
        <v xml:space="preserve"> </v>
      </c>
      <c r="AD35" s="50" t="str">
        <f>IF(AD31= " ", " ",IF(AD33&gt;SUM($H31:$BG31), " N/A", IF(SUM($H33:$BG33)=SUM($H31:CB31), " ", IF(AD33=SUM($H31:CB31), " ", "x"))))</f>
        <v xml:space="preserve"> </v>
      </c>
      <c r="AE35" s="44" t="str">
        <f>IF(AE31= " ", " ",IF(AE33&gt;SUM($H31:$BG31), " N/A", IF(SUM($H33:$BG33)=SUM($H31:CC31), " ", IF(AE33=SUM($H31:CC31), " ", "x"))))</f>
        <v xml:space="preserve"> </v>
      </c>
      <c r="AF35" s="50" t="str">
        <f>IF(AF31= " ", " ",IF(AF33&gt;SUM($H31:$BG31), " N/A", IF(SUM($H33:$BG33)=SUM($H31:CD31), " ", IF(AF33=SUM($H31:CD31), " ", "x"))))</f>
        <v xml:space="preserve"> </v>
      </c>
      <c r="AG35" s="50" t="str">
        <f>IF(AG31= " ", " ",IF(AG33&gt;SUM($H31:$BG31), " N/A", IF(SUM($H33:$BG33)=SUM($H31:CE31), " ", IF(AG33=SUM($H31:CE31), " ", "x"))))</f>
        <v xml:space="preserve"> </v>
      </c>
      <c r="AH35" s="50" t="str">
        <f>IF(AH31= " ", " ",IF(AH33&gt;SUM($H31:$BG31), " N/A", IF(SUM($H33:$BG33)=SUM($H31:CF31), " ", IF(AH33=SUM($H31:CF31), " ", "x"))))</f>
        <v xml:space="preserve"> </v>
      </c>
      <c r="AI35" s="50" t="str">
        <f>IF(AI31= " ", " ",IF(AI33&gt;SUM($H31:$BG31), " N/A", IF(SUM($H33:$BG33)=SUM($H31:CG31), " ", IF(AI33=SUM($H31:CG31), " ", "x"))))</f>
        <v xml:space="preserve"> </v>
      </c>
      <c r="AJ35" s="50" t="str">
        <f>IF(AJ31= " ", " ",IF(AJ33&gt;SUM($H31:$BG31), " N/A", IF(SUM($H33:$BG33)=SUM($H31:CH31), " ", IF(AJ33=SUM($H31:CH31), " ", "x"))))</f>
        <v xml:space="preserve"> </v>
      </c>
      <c r="AK35" s="50" t="str">
        <f>IF(AK31= " ", " ",IF(AK33&gt;SUM($H31:$BG31), " N/A", IF(SUM($H33:$BG33)=SUM($H31:CI31), " ", IF(AK33=SUM($H31:CI31), " ", "x"))))</f>
        <v xml:space="preserve"> </v>
      </c>
      <c r="AL35" s="50" t="str">
        <f>IF(AL31= " ", " ",IF(AL33&gt;SUM($H31:$BG31), " N/A", IF(SUM($H33:$BG33)=SUM($H31:CJ31), " ", IF(AL33=SUM($H31:CJ31), " ", "x"))))</f>
        <v xml:space="preserve"> </v>
      </c>
      <c r="AM35" s="50" t="str">
        <f>IF(AM31= " ", " ",IF(AM33&gt;SUM($H31:$BG31), " N/A", IF(SUM($H33:$BG33)=SUM($H31:CK31), " ", IF(AM33=SUM($H31:CK31), " ", "x"))))</f>
        <v xml:space="preserve"> </v>
      </c>
      <c r="AN35" s="50" t="str">
        <f>IF(AN31= " ", " ",IF(AN33&gt;SUM($H31:$BG31), " N/A", IF(SUM($H33:$BG33)=SUM($H31:CL31), " ", IF(AN33=SUM($H31:CL31), " ", "x"))))</f>
        <v xml:space="preserve"> </v>
      </c>
      <c r="AO35" s="50" t="str">
        <f>IF(AO31= " ", " ",IF(AO33&gt;SUM($H31:$BG31), " N/A", IF(SUM($H33:$BG33)=SUM($H31:CM31), " ", IF(AO33=SUM($H31:CM31), " ", "x"))))</f>
        <v xml:space="preserve"> </v>
      </c>
      <c r="AP35" s="50" t="str">
        <f>IF(AP31= " ", " ",IF(AP33&gt;SUM($H31:$BG31), " N/A", IF(SUM($H33:$BG33)=SUM($H31:CN31), " ", IF(AP33=SUM($H31:CN31), " ", "x"))))</f>
        <v xml:space="preserve"> </v>
      </c>
      <c r="AQ35" s="50" t="str">
        <f>IF(AQ31= " ", " ",IF(AQ33&gt;SUM($H31:$BG31), " N/A", IF(SUM($H33:$BG33)=SUM($H31:CO31), " ", IF(AQ33=SUM($H31:CO31), " ", "x"))))</f>
        <v xml:space="preserve"> </v>
      </c>
      <c r="AR35" s="50" t="str">
        <f>IF(AR31= " ", " ",IF(AR33&gt;SUM($H31:$BG31), " N/A", IF(SUM($H33:$BG33)=SUM($H31:CP31), " ", IF(AR33=SUM($H31:CP31), " ", "x"))))</f>
        <v xml:space="preserve"> </v>
      </c>
      <c r="AS35" s="50" t="str">
        <f>IF(AS31= " ", " ",IF(AS33&gt;SUM($H31:$BG31), " N/A", IF(SUM($H33:$BG33)=SUM($H31:CQ31), " ", IF(AS33=SUM($H31:CQ31), " ", "x"))))</f>
        <v xml:space="preserve"> </v>
      </c>
      <c r="AT35" s="50" t="str">
        <f>IF(AT31= " ", " ",IF(AT33&gt;SUM($H31:$BG31), " N/A", IF(SUM($H33:$BG33)=SUM($H31:CR31), " ", IF(AT33=SUM($H31:CR31), " ", "x"))))</f>
        <v xml:space="preserve"> </v>
      </c>
      <c r="AU35" s="50" t="str">
        <f>IF(AU31= " ", " ",IF(AU33&gt;SUM($H31:$BG31), " N/A", IF(SUM($H33:$BG33)=SUM($H31:CS31), " ", IF(AU33=SUM($H31:CS31), " ", "x"))))</f>
        <v xml:space="preserve"> </v>
      </c>
      <c r="AV35" s="50" t="str">
        <f>IF(AV31= " ", " ",IF(AV33&gt;SUM($H31:$BG31), " N/A", IF(SUM($H33:$BG33)=SUM($H31:CT31), " ", IF(AV33=SUM($H31:CT31), " ", "x"))))</f>
        <v xml:space="preserve"> </v>
      </c>
      <c r="AW35" s="50" t="str">
        <f>IF(AW31= " ", " ",IF(AW33&gt;SUM($H31:$BG31), " N/A", IF(SUM($H33:$BG33)=SUM($H31:CU31), " ", IF(AW33=SUM($H31:CU31), " ", "x"))))</f>
        <v xml:space="preserve"> </v>
      </c>
      <c r="AX35" s="50" t="str">
        <f>IF(AX31= " ", " ",IF(AX33&gt;SUM($H31:$BG31), " N/A", IF(SUM($H33:$BG33)=SUM($H31:CV31), " ", IF(AX33=SUM($H31:CV31), " ", "x"))))</f>
        <v xml:space="preserve"> </v>
      </c>
      <c r="AY35" s="50" t="str">
        <f>IF(AY31= " ", " ",IF(AY33&gt;SUM($H31:$BG31), " N/A", IF(SUM($H33:$BG33)=SUM($H31:CW31), " ", IF(AY33=SUM($H31:CW31), " ", "x"))))</f>
        <v xml:space="preserve"> </v>
      </c>
      <c r="AZ35" s="50" t="str">
        <f>IF(AZ31= " ", " ",IF(AZ33&gt;SUM($H31:$BG31), " N/A", IF(SUM($H33:$BG33)=SUM($H31:CX31), " ", IF(AZ33=SUM($H31:CX31), " ", "x"))))</f>
        <v xml:space="preserve"> </v>
      </c>
      <c r="BA35" s="50" t="str">
        <f>IF(BA31= " ", " ",IF(BA33&gt;SUM($H31:$BG31), " N/A", IF(SUM($H33:$BG33)=SUM($H31:CY31), " ", IF(BA33=SUM($H31:CY31), " ", "x"))))</f>
        <v xml:space="preserve"> </v>
      </c>
      <c r="BB35" s="50" t="str">
        <f>IF(BB31= " ", " ",IF(BB33&gt;SUM($H31:$BG31), " N/A", IF(SUM($H33:$BG33)=SUM($H31:CZ31), " ", IF(BB33=SUM($H31:CZ31), " ", "x"))))</f>
        <v xml:space="preserve"> </v>
      </c>
      <c r="BC35" s="50" t="str">
        <f>IF(BC31= " ", " ",IF(BC33&gt;SUM($H31:$BG31), " N/A", IF(SUM($H33:$BG33)=SUM($H31:DA31), " ", IF(BC33=SUM($H31:DA31), " ", "x"))))</f>
        <v xml:space="preserve"> </v>
      </c>
      <c r="BD35" s="50" t="str">
        <f>IF(BD31= " ", " ",IF(BD33&gt;SUM($H31:$BG31), " N/A", IF(SUM($H33:$BG33)=SUM($H31:DB31), " ", IF(BD33=SUM($H31:DB31), " ", "x"))))</f>
        <v xml:space="preserve"> </v>
      </c>
      <c r="BE35" s="50" t="str">
        <f>IF(BE31= " ", " ",IF(BE33&gt;SUM($H31:$BG31), " N/A", IF(SUM($H33:$BG33)=SUM($H31:DC31), " ", IF(BE33=SUM($H31:DC31), " ", "x"))))</f>
        <v xml:space="preserve"> </v>
      </c>
      <c r="BF35" s="50" t="str">
        <f>IF(BF31= " ", " ",IF(BF33&gt;SUM($H31:$BG31), " N/A", IF(SUM($H33:$BG33)=SUM($H31:DD31), " ", IF(BF33=SUM($H31:DD31), " ", "x"))))</f>
        <v xml:space="preserve"> </v>
      </c>
      <c r="BG35" s="50" t="str">
        <f>IF(BG31= " ", " ",IF(BG33&gt;SUM($H31:$BG31), " N/A", IF(SUM($H33:$BG33)=SUM($H31:DE31), " ", IF(BG33=SUM($H31:DE31), " ", "x"))))</f>
        <v xml:space="preserve"> </v>
      </c>
      <c r="BH35" s="21"/>
    </row>
    <row r="36" spans="2:60" ht="15.6" x14ac:dyDescent="0.3">
      <c r="B36" s="71"/>
      <c r="C36" s="77"/>
      <c r="D36" s="82" t="s">
        <v>249</v>
      </c>
      <c r="E36" s="54">
        <f>SUM(H36:BG36)</f>
        <v>16</v>
      </c>
      <c r="F36" s="115">
        <f>Gant_24!$E36-E38</f>
        <v>0</v>
      </c>
      <c r="H36" s="41"/>
      <c r="I36" s="42"/>
      <c r="J36" s="42"/>
      <c r="K36" s="42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>
        <v>16</v>
      </c>
      <c r="AD36" s="51"/>
      <c r="AE36" s="51"/>
      <c r="AF36" s="51"/>
      <c r="AG36" s="51"/>
      <c r="AH36" s="51"/>
      <c r="AI36" s="51"/>
      <c r="AJ36" s="51"/>
      <c r="AK36" s="51"/>
      <c r="AL36" s="51"/>
      <c r="AM36" s="51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1"/>
      <c r="BC36" s="51"/>
      <c r="BD36" s="51"/>
      <c r="BE36" s="51"/>
      <c r="BF36" s="51"/>
      <c r="BG36" s="51"/>
      <c r="BH36" s="21"/>
    </row>
    <row r="37" spans="2:60" ht="15.6" x14ac:dyDescent="0.3">
      <c r="B37" s="68"/>
      <c r="C37" s="78"/>
      <c r="D37" s="83" t="s">
        <v>261</v>
      </c>
      <c r="E37" s="55">
        <f>SUM(H37:BG37)</f>
        <v>0</v>
      </c>
      <c r="F37" s="116"/>
      <c r="H37" s="43"/>
      <c r="I37" s="44"/>
      <c r="J37" s="44"/>
      <c r="K37" s="44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50"/>
      <c r="AI37" s="50"/>
      <c r="AJ37" s="50"/>
      <c r="AK37" s="50"/>
      <c r="AL37" s="50"/>
      <c r="AM37" s="50"/>
      <c r="AN37" s="50"/>
      <c r="AO37" s="50"/>
      <c r="AP37" s="50"/>
      <c r="AQ37" s="50"/>
      <c r="AR37" s="50"/>
      <c r="AS37" s="50"/>
      <c r="AT37" s="50"/>
      <c r="AU37" s="50"/>
      <c r="AV37" s="50"/>
      <c r="AW37" s="50"/>
      <c r="AX37" s="50"/>
      <c r="AY37" s="50"/>
      <c r="AZ37" s="50"/>
      <c r="BA37" s="50"/>
      <c r="BB37" s="50"/>
      <c r="BC37" s="50"/>
      <c r="BD37" s="50"/>
      <c r="BE37" s="50"/>
      <c r="BF37" s="50"/>
      <c r="BG37" s="50"/>
      <c r="BH37" s="21"/>
    </row>
    <row r="38" spans="2:60" ht="15.6" x14ac:dyDescent="0.3">
      <c r="B38" s="68" t="s">
        <v>52</v>
      </c>
      <c r="C38" s="78" t="s">
        <v>53</v>
      </c>
      <c r="D38" s="83" t="s">
        <v>241</v>
      </c>
      <c r="E38" s="55">
        <f>SUM(H38:BG38)</f>
        <v>16</v>
      </c>
      <c r="F38" s="116"/>
      <c r="H38" s="45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>
        <v>9</v>
      </c>
      <c r="AH38" s="46">
        <v>7</v>
      </c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X38" s="46"/>
      <c r="AY38" s="46"/>
      <c r="AZ38" s="46"/>
      <c r="BA38" s="46"/>
      <c r="BB38" s="46"/>
      <c r="BC38" s="46"/>
      <c r="BD38" s="46"/>
      <c r="BE38" s="46"/>
      <c r="BF38" s="46"/>
      <c r="BG38" s="46"/>
      <c r="BH38" s="21"/>
    </row>
    <row r="39" spans="2:60" ht="15.6" x14ac:dyDescent="0.3">
      <c r="B39" s="68"/>
      <c r="C39" s="78"/>
      <c r="D39" s="83" t="s">
        <v>278</v>
      </c>
      <c r="E39" s="56">
        <f ca="1">MAX(H39:BG39)</f>
        <v>0</v>
      </c>
      <c r="F39" s="116"/>
      <c r="H39" s="47"/>
      <c r="I39" s="48"/>
      <c r="J39" s="48"/>
      <c r="K39" s="48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48"/>
      <c r="AB39" s="48"/>
      <c r="AC39" s="48" t="str">
        <f>IF(SUM(H36:BG36) = AC38, " 0 ", " ")</f>
        <v xml:space="preserve"> </v>
      </c>
      <c r="AD39" s="48" t="str">
        <f ca="1">IF(AD9&gt;WEEKNUM(TODAY())," ",IF(AND(AD10="x",SUM($AC38:AD38)&gt;$AC36),H9-(SUM($AC38:AC38)/SUM($AC36:$BG36)),IF(SUM($AC38:AD38)&gt;=$AC36," ",H9-(SUM($AC38:AC38)/(SUM($AC36:$BG36))))))</f>
        <v xml:space="preserve"> </v>
      </c>
      <c r="AE39" s="48" t="str">
        <f ca="1">IF(AE9&gt;WEEKNUM(TODAY())," ",IF(AND(AE10="x",SUM($AC38:AE38)&gt;$AC36),I9-(SUM($AC38:AD38)/SUM($AC36:$BG36)),IF(SUM($AC38:AE38)&gt;=$AC36," ",I9-(SUM($AC38:AD38)/(SUM($AC36:$BG36))))))</f>
        <v xml:space="preserve"> </v>
      </c>
      <c r="AF39" s="48" t="str">
        <f ca="1">IF(AF9&gt;WEEKNUM(TODAY())," ",IF(AND(AF10="x",SUM($AC38:AF38)&gt;$AC36),J9-(SUM($AC38:AE38)/SUM($AC36:$BG36)),IF(SUM($AC38:AF38)&gt;=$AC36," ",J9-(SUM($AC38:AE38)/(SUM($AC36:$BG36))))))</f>
        <v xml:space="preserve"> </v>
      </c>
      <c r="AG39" s="48" t="str">
        <f ca="1">IF(AG9&gt;WEEKNUM(TODAY())," ",IF(AND(AG10="x",SUM($AC38:AG38)&gt;$AC36),K9-(SUM($AC38:AF38)/SUM($AC36:$BG36)),IF(SUM($AC38:AG38)&gt;=$AC36," ",K9-(SUM($AC38:AF38)/(SUM($AC36:$BG36))))))</f>
        <v xml:space="preserve"> </v>
      </c>
      <c r="AH39" s="48" t="str">
        <f ca="1">IF(AH9&gt;WEEKNUM(TODAY())," ",IF(AND(AH10="x",SUM($AC38:AH38)&gt;$AC36),L9-(SUM($AC38:AG38)/SUM($AC36:$BG36)),IF(SUM($AC38:AH38)&gt;=$AC36," ",L9-(SUM($AC38:AG38)/(SUM($AC36:$BG36))))))</f>
        <v xml:space="preserve"> </v>
      </c>
      <c r="AI39" s="48" t="str">
        <f ca="1">IF(AI9&gt;WEEKNUM(TODAY())," ",IF(AND(AI10="x",SUM($AC38:AI38)&gt;$AC36),M9-(SUM($AC38:AH38)/SUM($AC36:$BG36)),IF(SUM($AC38:AI38)&gt;=$AC36," ",M9-(SUM($AC38:AH38)/(SUM($AC36:$BG36))))))</f>
        <v xml:space="preserve"> </v>
      </c>
      <c r="AJ39" s="48" t="str">
        <f ca="1">IF(AJ9&gt;WEEKNUM(TODAY())," ",IF(AND(AJ10="x",SUM($AC38:AJ38)&gt;$AC36),N9-(SUM($AC38:AI38)/SUM($AC36:$BG36)),IF(SUM($AC38:AJ38)&gt;=$AC36," ",N9-(SUM($AC38:AI38)/(SUM($AC36:$BG36))))))</f>
        <v xml:space="preserve"> </v>
      </c>
      <c r="AK39" s="48" t="str">
        <f ca="1">IF(AK9&gt;WEEKNUM(TODAY())," ",IF(AND(AK10="x",SUM($AC38:AK38)&gt;$AC36),O9-(SUM($AC38:AJ38)/SUM($AC36:$BG36)),IF(SUM($AC38:AK38)&gt;=$AC36," ",O9-(SUM($AC38:AJ38)/(SUM($AC36:$BG36))))))</f>
        <v xml:space="preserve"> </v>
      </c>
      <c r="AL39" s="48" t="str">
        <f ca="1">IF(AL9&gt;WEEKNUM(TODAY())," ",IF(AND(AL10="x",SUM($AC38:AL38)&gt;$AC36),P9-(SUM($AC38:AK38)/SUM($AC36:$BG36)),IF(SUM($AC38:AL38)&gt;=$AC36," ",P9-(SUM($AC38:AK38)/(SUM($AC36:$BG36))))))</f>
        <v xml:space="preserve"> </v>
      </c>
      <c r="AM39" s="48" t="str">
        <f ca="1">IF(AM9&gt;WEEKNUM(TODAY())," ",IF(AND(AM10="x",SUM($AC38:AM38)&gt;$AC36),Q9-(SUM($AC38:AL38)/SUM($AC36:$BG36)),IF(SUM($AC38:AM38)&gt;=$AC36," ",Q9-(SUM($AC38:AL38)/(SUM($AC36:$BG36))))))</f>
        <v xml:space="preserve"> </v>
      </c>
      <c r="AN39" s="48" t="str">
        <f ca="1">IF(AN9&gt;WEEKNUM(TODAY())," ",IF(AND(AN10="x",SUM($AC38:AN38)&gt;$AC36),R9-(SUM($AC38:AM38)/SUM($AC36:$BG36)),IF(SUM($AC38:AN38)&gt;=$AC36," ",R9-(SUM($AC38:AM38)/(SUM($AC36:$BG36))))))</f>
        <v xml:space="preserve"> </v>
      </c>
      <c r="AO39" s="48" t="str">
        <f ca="1">IF(AO9&gt;WEEKNUM(TODAY())," ",IF(AND(AO10="x",SUM($AC38:AO38)&gt;$AC36),S9-(SUM($AC38:AN38)/SUM($AC36:$BG36)),IF(SUM($AC38:AO38)&gt;=$AC36," ",S9-(SUM($AC38:AN38)/(SUM($AC36:$BG36))))))</f>
        <v xml:space="preserve"> </v>
      </c>
      <c r="AP39" s="48" t="str">
        <f ca="1">IF(AP9&gt;WEEKNUM(TODAY())," ",IF(AND(AP10="x",SUM($AC38:AP38)&gt;$AC36),T9-(SUM($AC38:AO38)/SUM($AC36:$BG36)),IF(SUM($AC38:AP38)&gt;=$AC36," ",T9-(SUM($AC38:AO38)/(SUM($AC36:$BG36))))))</f>
        <v xml:space="preserve"> </v>
      </c>
      <c r="AQ39" s="48" t="str">
        <f ca="1">IF(AQ9&gt;WEEKNUM(TODAY())," ",IF(AND(AQ10="x",SUM($AC38:AQ38)&gt;$AC36),U9-(SUM($AC38:AP38)/SUM($AC36:$BG36)),IF(SUM($AC38:AQ38)&gt;=$AC36," ",U9-(SUM($AC38:AP38)/(SUM($AC36:$BG36))))))</f>
        <v xml:space="preserve"> </v>
      </c>
      <c r="AR39" s="48" t="str">
        <f ca="1">IF(AR9&gt;WEEKNUM(TODAY())," ",IF(AND(AR10="x",SUM($AC38:AR38)&gt;$AC36),V9-(SUM($AC38:AQ38)/SUM($AC36:$BG36)),IF(SUM($AC38:AR38)&gt;=$AC36," ",V9-(SUM($AC38:AQ38)/(SUM($AC36:$BG36))))))</f>
        <v xml:space="preserve"> </v>
      </c>
      <c r="AS39" s="48" t="str">
        <f ca="1">IF(AS9&gt;WEEKNUM(TODAY())," ",IF(AND(AS10="x",SUM($AC38:AS38)&gt;$AC36),W9-(SUM($AC38:AR38)/SUM($AC36:$BG36)),IF(SUM($AC38:AS38)&gt;=$AC36," ",W9-(SUM($AC38:AR38)/(SUM($AC36:$BG36))))))</f>
        <v xml:space="preserve"> </v>
      </c>
      <c r="AT39" s="48" t="str">
        <f ca="1">IF(AT9&gt;WEEKNUM(TODAY())," ",IF(AND(AT10="x",SUM($AC38:AT38)&gt;$AC36),X9-(SUM($AC38:AS38)/SUM($AC36:$BG36)),IF(SUM($AC38:AT38)&gt;=$AC36," ",X9-(SUM($AC38:AS38)/(SUM($AC36:$BG36))))))</f>
        <v xml:space="preserve"> </v>
      </c>
      <c r="AU39" s="48" t="str">
        <f ca="1">IF(AU9&gt;WEEKNUM(TODAY())," ",IF(AND(AU10="x",SUM($AC38:AU38)&gt;$AC36),Y9-(SUM($AC38:AT38)/SUM($AC36:$BG36)),IF(SUM($AC38:AU38)&gt;=$AC36," ",Y9-(SUM($AC38:AT38)/(SUM($AC36:$BG36))))))</f>
        <v xml:space="preserve"> </v>
      </c>
      <c r="AV39" s="48" t="str">
        <f ca="1">IF(AV9&gt;WEEKNUM(TODAY())," ",IF(AND(AV10="x",SUM($AC38:AV38)&gt;$AC36),Z9-(SUM($AC38:AU38)/SUM($AC36:$BG36)),IF(SUM($AC38:AV38)&gt;=$AC36," ",Z9-(SUM($AC38:AU38)/(SUM($AC36:$BG36))))))</f>
        <v xml:space="preserve"> </v>
      </c>
      <c r="AW39" s="48" t="str">
        <f ca="1">IF(AW9&gt;WEEKNUM(TODAY())," ",IF(AND(AW10="x",SUM($AC38:AW38)&gt;$AC36),AA9-(SUM($AC38:AV38)/SUM($AC36:$BG36)),IF(SUM($AC38:AW38)&gt;=$AC36," ",AA9-(SUM($AC38:AV38)/(SUM($AC36:$BG36))))))</f>
        <v xml:space="preserve"> </v>
      </c>
      <c r="AX39" s="48" t="str">
        <f ca="1">IF(AX9&gt;WEEKNUM(TODAY())," ",IF(AND(AX10="x",SUM($AC38:AX38)&gt;$AC36),AB9-(SUM($AC38:AW38)/SUM($AC36:$BG36)),IF(SUM($AC38:AX38)&gt;=$AC36," ",AB9-(SUM($AC38:AW38)/(SUM($AC36:$BG36))))))</f>
        <v xml:space="preserve"> </v>
      </c>
      <c r="AY39" s="48" t="str">
        <f ca="1">IF(AY9&gt;WEEKNUM(TODAY())," ",IF(AND(AY10="x",SUM($AC38:AY38)&gt;$AC36),AC9-(SUM($AC38:AX38)/SUM($AC36:$BG36)),IF(SUM($AC38:AY38)&gt;=$AC36," ",AC9-(SUM($AC38:AX38)/(SUM($AC36:$BG36))))))</f>
        <v xml:space="preserve"> </v>
      </c>
      <c r="AZ39" s="48" t="str">
        <f ca="1">IF(AZ9&gt;WEEKNUM(TODAY())," ",IF(AND(AZ10="x",SUM($AC38:AZ38)&gt;$AC36),AD9-(SUM($AC38:AY38)/SUM($AC36:$BG36)),IF(SUM($AC38:AZ38)&gt;=$AC36," ",AD9-(SUM($AC38:AY38)/(SUM($AC36:$BG36))))))</f>
        <v xml:space="preserve"> </v>
      </c>
      <c r="BA39" s="48" t="str">
        <f ca="1">IF(BA9&gt;WEEKNUM(TODAY())," ",IF(AND(BA10="x",SUM($AC38:BA38)&gt;$AC36),AE9-(SUM($AC38:AZ38)/SUM($AC36:$BG36)),IF(SUM($AC38:BA38)&gt;=$AC36," ",AE9-(SUM($AC38:AZ38)/(SUM($AC36:$BG36))))))</f>
        <v xml:space="preserve"> </v>
      </c>
      <c r="BB39" s="48" t="str">
        <f ca="1">IF(BB9&gt;WEEKNUM(TODAY())," ",IF(AND(BB10="x",SUM($AC38:BB38)&gt;$AC36),AF9-(SUM($AC38:BA38)/SUM($AC36:$BG36)),IF(SUM($AC38:BB38)&gt;=$AC36," ",AF9-(SUM($AC38:BA38)/(SUM($AC36:$BG36))))))</f>
        <v xml:space="preserve"> </v>
      </c>
      <c r="BC39" s="48" t="str">
        <f ca="1">IF(BC9&gt;WEEKNUM(TODAY())," ",IF(AND(BC10="x",SUM($AC38:BC38)&gt;$AC36),AG9-(SUM($AC38:BB38)/SUM($AC36:$BG36)),IF(SUM($AC38:BC38)&gt;=$AC36," ",AG9-(SUM($AC38:BB38)/(SUM($AC36:$BG36))))))</f>
        <v xml:space="preserve"> </v>
      </c>
      <c r="BD39" s="48" t="str">
        <f ca="1">IF(BD9&gt;WEEKNUM(TODAY())," ",IF(AND(BD10="x",SUM($AC38:BD38)&gt;$AC36),AH9-(SUM($AC38:BC38)/SUM($AC36:$BG36)),IF(SUM($AC38:BD38)&gt;=$AC36," ",AH9-(SUM($AC38:BC38)/(SUM($AC36:$BG36))))))</f>
        <v xml:space="preserve"> </v>
      </c>
      <c r="BE39" s="48" t="str">
        <f ca="1">IF(BE9&gt;WEEKNUM(TODAY())," ",IF(AND(BE10="x",SUM($AC38:BE38)&gt;$AC36),AI9-(SUM($AC38:BD38)/SUM($AC36:$BG36)),IF(SUM($AC38:BE38)&gt;=$AC36," ",AI9-(SUM($AC38:BD38)/(SUM($AC36:$BG36))))))</f>
        <v xml:space="preserve"> </v>
      </c>
      <c r="BF39" s="48" t="str">
        <f ca="1">IF(BF9&gt;WEEKNUM(TODAY())," ",IF(AND(BF10="x",SUM($AC38:BF38)&gt;$AC36),AJ9-(SUM($AC38:BE38)/SUM($AC36:$BG36)),IF(SUM($AC38:BF38)&gt;=$AC36," ",AJ9-(SUM($AC38:BE38)/(SUM($AC36:$BG36))))))</f>
        <v xml:space="preserve"> </v>
      </c>
      <c r="BG39" s="48" t="str">
        <f ca="1">IF(BG9&gt;WEEKNUM(TODAY())," ",IF(AND(BG10="x",SUM($AC38:BG38)&gt;$AC36),AK9-(SUM($AC38:BF38)/SUM($AC36:$BG36)),IF(SUM($AC38:BG38)&gt;=$AC36," ",AK9-(SUM($AC38:BF38)/(SUM($AC36:$BG36))))))</f>
        <v xml:space="preserve"> </v>
      </c>
      <c r="BH39" s="21"/>
    </row>
    <row r="40" spans="2:60" ht="16.2" thickBot="1" x14ac:dyDescent="0.35">
      <c r="B40" s="70"/>
      <c r="C40" s="79"/>
      <c r="D40" s="84"/>
      <c r="E40" s="57"/>
      <c r="F40" s="117"/>
      <c r="H40" s="49" t="str">
        <f>IF(H36= " ", " ",IF(H38&gt;SUM($H36:$BG36), " N/A", IF(SUM($H38:$BG38)=SUM($H36:BG36), " ", IF(H38=SUM($H36:BG36), " ", "x"))))</f>
        <v xml:space="preserve"> </v>
      </c>
      <c r="I40" s="50" t="str">
        <f>IF(SUM($H38:I38) &gt; SUM($H36:I36),  " N/A", IF(SUM($H38:$BG38) = SUM($H36:$BH36),    " ",IF(I38 = SUM($H36:$BH36),  " ",   "x")))</f>
        <v xml:space="preserve"> </v>
      </c>
      <c r="J40" s="50" t="str">
        <f>IF(SUM($H38:J38) &gt; SUM($H36:J36),  " N/A", IF(SUM($H38:$BG38) = SUM($H36:$BH36),    " ",IF(J38 = SUM($H36:$BH36),  " ",   "x")))</f>
        <v xml:space="preserve"> </v>
      </c>
      <c r="K40" s="50" t="str">
        <f>IF(SUM($H38:K38) &gt; SUM($H36:K36),  " N/A", IF(SUM($H38:$BG38) = SUM($H36:$BH36),    " ",IF(K38 = SUM($H36:$BH36),  " ",   "x")))</f>
        <v xml:space="preserve"> </v>
      </c>
      <c r="L40" s="50" t="str">
        <f>IF(SUM($H38:L38) &gt; SUM($H36:L36),  " N/A", IF(SUM($H38:$BG38) = SUM($H36:$BH36),    " ",IF(L38 = SUM($H36:$BH36),  " ",   "x")))</f>
        <v xml:space="preserve"> </v>
      </c>
      <c r="M40" s="50" t="str">
        <f>IF(SUM($H38:M38) &gt; SUM($H36:M36),  " N/A", IF(SUM($H38:$BG38) = SUM($H36:$BH36),    " ",IF(M38 = SUM($H36:$BH36),  " ",   "x")))</f>
        <v xml:space="preserve"> </v>
      </c>
      <c r="N40" s="50" t="str">
        <f>IF(SUM($H38:N38) &gt; SUM($H36:N36),  " N/A", IF(SUM($H38:$BG38) = SUM($H36:$BH36),    " ",IF(N38 = SUM($H36:$BH36),  " ",   "x")))</f>
        <v xml:space="preserve"> </v>
      </c>
      <c r="O40" s="50" t="str">
        <f>IF(SUM($H38:O38) &gt; SUM($H36:O36),  " N/A", IF(SUM($H38:$BG38) = SUM($H36:$BH36),    " ",IF(O38 = SUM($H36:$BH36),  " ",   "x")))</f>
        <v xml:space="preserve"> </v>
      </c>
      <c r="P40" s="50" t="str">
        <f>IF(SUM($H38:P38) &gt; SUM($H36:P36),  " N/A", IF(SUM($H38:$BG38) = SUM($H36:$BH36),    " ",IF(P38 = SUM($H36:$BH36),  " ",   "x")))</f>
        <v xml:space="preserve"> </v>
      </c>
      <c r="Q40" s="50" t="str">
        <f>IF(SUM($H38:Q38) &gt; SUM($H36:Q36),  " N/A", IF(SUM($H38:$BG38) = SUM($H36:$BH36),    " ",IF(Q38 = SUM($H36:$BH36),  " ",   "x")))</f>
        <v xml:space="preserve"> </v>
      </c>
      <c r="R40" s="50" t="str">
        <f>IF(SUM($H38:R38) &gt; SUM($H36:R36),  " N/A", IF(SUM($H38:$BG38) = SUM($H36:$BH36),    " ",IF(R38 = SUM($H36:$BH36),  " ",   "x")))</f>
        <v xml:space="preserve"> </v>
      </c>
      <c r="S40" s="50" t="str">
        <f>IF(SUM($H38:S38) &gt; SUM($H36:S36),  " N/A", IF(SUM($H38:$BG38) = SUM($H36:$BH36),    " ",IF(S38 = SUM($H36:$BH36),  " ",   "x")))</f>
        <v xml:space="preserve"> </v>
      </c>
      <c r="T40" s="50" t="str">
        <f>IF(SUM($H38:T38) &gt; SUM($H36:T36),  " N/A", IF(SUM($H38:$BG38) = SUM($H36:$BH36),    " ",IF(T38 = SUM($H36:$BH36),  " ",   "x")))</f>
        <v xml:space="preserve"> </v>
      </c>
      <c r="U40" s="50" t="str">
        <f>IF(SUM($H38:U38) &gt; SUM($H36:U36),  " N/A", IF(SUM($H38:$BG38) = SUM($H36:$BH36),    " ",IF(U38 = SUM($H36:$BH36),  " ",   "x")))</f>
        <v xml:space="preserve"> </v>
      </c>
      <c r="V40" s="50" t="str">
        <f>IF(SUM($H38:V38) &gt; SUM($H36:V36),  " N/A", IF(SUM($H38:$BG38) = SUM($H36:$BH36),    " ",IF(V38 = SUM($H36:$BH36),  " ",   "x")))</f>
        <v xml:space="preserve"> </v>
      </c>
      <c r="W40" s="50" t="str">
        <f>IF(SUM($H38:W38) &gt; SUM($H36:W36),  " N/A", IF(SUM($H38:$BG38) = SUM($H36:$BH36),    " ",IF(W38 = SUM($H36:$BH36),  " ",   "x")))</f>
        <v xml:space="preserve"> </v>
      </c>
      <c r="X40" s="50" t="str">
        <f>IF(SUM($H38:X38) &gt; SUM($H36:X36),  " N/A", IF(SUM($H38:$BG38) = SUM($H36:$BH36),    " ",IF(X38 = SUM($H36:$BH36),  " ",   "x")))</f>
        <v xml:space="preserve"> </v>
      </c>
      <c r="Y40" s="50" t="str">
        <f>IF(SUM($H38:Y38) &gt; SUM($H36:Y36),  " N/A", IF(SUM($H38:$BG38) = SUM($H36:$BH36),    " ",IF(Y38 = SUM($H36:$BH36),  " ",   "x")))</f>
        <v xml:space="preserve"> </v>
      </c>
      <c r="Z40" s="50" t="str">
        <f>IF(SUM($H38:Z38) &gt; SUM($H36:Z36),  " N/A", IF(SUM($H38:$BG38) = SUM($H36:$BH36),    " ",IF(Z38 = SUM($H36:$BH36),  " ",   "x")))</f>
        <v xml:space="preserve"> </v>
      </c>
      <c r="AA40" s="50" t="str">
        <f>IF(SUM($H38:AA38) &gt; SUM($H36:AA36),  " N/A", IF(SUM($H38:$BG38) = SUM($H36:$BH36),    " ",IF(AA38 = SUM($H36:$BH36),  " ",   "x")))</f>
        <v xml:space="preserve"> </v>
      </c>
      <c r="AB40" s="50" t="str">
        <f>IF(SUM($H38:AB38) &gt; SUM($H36:AB36),  " N/A", IF(SUM($H38:$BG38) = SUM($H36:$BH36),    " ",IF(AB38 = SUM($H36:$BH36),  " ",   "x")))</f>
        <v xml:space="preserve"> </v>
      </c>
      <c r="AC40" s="50" t="str">
        <f>IF(SUM($H38:AC38) &gt; SUM($H36:AC36),  " N/A", IF(SUM($H38:$BG38) = SUM($H36:$BH36),    " ",IF(AC38 = SUM($H36:$BH36),  " ",   "x")))</f>
        <v xml:space="preserve"> </v>
      </c>
      <c r="AD40" s="44" t="str">
        <f>IF(AD36= " ", " ",IF(AD38&gt;SUM($H36:$BG36), " N/A", IF(SUM($H38:$BG38)=SUM($H36:CB36), " ", IF(AD38=SUM($H36:CB36), " ", "x"))))</f>
        <v xml:space="preserve"> </v>
      </c>
      <c r="AE40" s="44" t="str">
        <f>IF(AE36= " ", " ",IF(AE38&gt;SUM($H36:$BG36), " N/A", IF(SUM($H38:$BG38)=SUM($H36:CC36), " ", IF(AE38=SUM($H36:CC36), " ", "x"))))</f>
        <v xml:space="preserve"> </v>
      </c>
      <c r="AF40" s="44" t="str">
        <f>IF(AF36= " ", " ",IF(AF38&gt;SUM($H36:$BG36), " N/A", IF(SUM($H38:$BG38)=SUM($H36:CD36), " ", IF(AF38=SUM($H36:CD36), " ", "x"))))</f>
        <v xml:space="preserve"> </v>
      </c>
      <c r="AG40" s="44" t="str">
        <f>IF(AG36= " ", " ",IF(AG38&gt;SUM($H36:$BG36), " N/A", IF(SUM($H38:$BG38)=SUM($H36:CE36), " ", IF(AG38=SUM($H36:CE36), " ", "x"))))</f>
        <v xml:space="preserve"> </v>
      </c>
      <c r="AH40" s="44" t="str">
        <f>IF(AH36= " ", " ",IF(AH38&gt;SUM($H36:$BG36), " N/A", IF(SUM($H38:$BG38)=SUM($H36:CF36), " ", IF(AH38=SUM($H36:CF36), " ", "x"))))</f>
        <v xml:space="preserve"> </v>
      </c>
      <c r="AI40" s="44" t="str">
        <f>IF(AI36= " ", " ",IF(AI38&gt;SUM($H36:$BG36), " N/A", IF(SUM($H38:$BG38)=SUM($H36:CG36), " ", IF(AI38=SUM($H36:CG36), " ", "x"))))</f>
        <v xml:space="preserve"> </v>
      </c>
      <c r="AJ40" s="44" t="str">
        <f>IF(AJ36= " ", " ",IF(AJ38&gt;SUM($H36:$BG36), " N/A", IF(SUM($H38:$BG38)=SUM($H36:CH36), " ", IF(AJ38=SUM($H36:CH36), " ", "x"))))</f>
        <v xml:space="preserve"> </v>
      </c>
      <c r="AK40" s="44" t="str">
        <f>IF(AK36= " ", " ",IF(AK38&gt;SUM($H36:$BG36), " N/A", IF(SUM($H38:$BG38)=SUM($H36:CI36), " ", IF(AK38=SUM($H36:CI36), " ", "x"))))</f>
        <v xml:space="preserve"> </v>
      </c>
      <c r="AL40" s="44" t="str">
        <f>IF(AL36= " ", " ",IF(AL38&gt;SUM($H36:$BG36), " N/A", IF(SUM($H38:$BG38)=SUM($H36:CJ36), " ", IF(AL38=SUM($H36:CJ36), " ", "x"))))</f>
        <v xml:space="preserve"> </v>
      </c>
      <c r="AM40" s="44" t="str">
        <f>IF(AM36= " ", " ",IF(AM38&gt;SUM($H36:$BG36), " N/A", IF(SUM($H38:$BG38)=SUM($H36:CK36), " ", IF(AM38=SUM($H36:CK36), " ", "x"))))</f>
        <v xml:space="preserve"> </v>
      </c>
      <c r="AN40" s="44" t="str">
        <f>IF(AN36= " ", " ",IF(AN38&gt;SUM($H36:$BG36), " N/A", IF(SUM($H38:$BG38)=SUM($H36:CL36), " ", IF(AN38=SUM($H36:CL36), " ", "x"))))</f>
        <v xml:space="preserve"> </v>
      </c>
      <c r="AO40" s="44" t="str">
        <f>IF(AO36= " ", " ",IF(AO38&gt;SUM($H36:$BG36), " N/A", IF(SUM($H38:$BG38)=SUM($H36:CM36), " ", IF(AO38=SUM($H36:CM36), " ", "x"))))</f>
        <v xml:space="preserve"> </v>
      </c>
      <c r="AP40" s="44" t="str">
        <f>IF(AP36= " ", " ",IF(AP38&gt;SUM($H36:$BG36), " N/A", IF(SUM($H38:$BG38)=SUM($H36:CN36), " ", IF(AP38=SUM($H36:CN36), " ", "x"))))</f>
        <v xml:space="preserve"> </v>
      </c>
      <c r="AQ40" s="44" t="str">
        <f>IF(AQ36= " ", " ",IF(AQ38&gt;SUM($H36:$BG36), " N/A", IF(SUM($H38:$BG38)=SUM($H36:CO36), " ", IF(AQ38=SUM($H36:CO36), " ", "x"))))</f>
        <v xml:space="preserve"> </v>
      </c>
      <c r="AR40" s="44" t="str">
        <f>IF(AR36= " ", " ",IF(AR38&gt;SUM($H36:$BG36), " N/A", IF(SUM($H38:$BG38)=SUM($H36:CP36), " ", IF(AR38=SUM($H36:CP36), " ", "x"))))</f>
        <v xml:space="preserve"> </v>
      </c>
      <c r="AS40" s="44" t="str">
        <f>IF(AS36= " ", " ",IF(AS38&gt;SUM($H36:$BG36), " N/A", IF(SUM($H38:$BG38)=SUM($H36:CQ36), " ", IF(AS38=SUM($H36:CQ36), " ", "x"))))</f>
        <v xml:space="preserve"> </v>
      </c>
      <c r="AT40" s="44" t="str">
        <f>IF(AT36= " ", " ",IF(AT38&gt;SUM($H36:$BG36), " N/A", IF(SUM($H38:$BG38)=SUM($H36:CR36), " ", IF(AT38=SUM($H36:CR36), " ", "x"))))</f>
        <v xml:space="preserve"> </v>
      </c>
      <c r="AU40" s="44" t="str">
        <f>IF(AU36= " ", " ",IF(AU38&gt;SUM($H36:$BG36), " N/A", IF(SUM($H38:$BG38)=SUM($H36:CS36), " ", IF(AU38=SUM($H36:CS36), " ", "x"))))</f>
        <v xml:space="preserve"> </v>
      </c>
      <c r="AV40" s="44" t="str">
        <f>IF(AV36= " ", " ",IF(AV38&gt;SUM($H36:$BG36), " N/A", IF(SUM($H38:$BG38)=SUM($H36:CT36), " ", IF(AV38=SUM($H36:CT36), " ", "x"))))</f>
        <v xml:space="preserve"> </v>
      </c>
      <c r="AW40" s="44" t="str">
        <f>IF(AW36= " ", " ",IF(AW38&gt;SUM($H36:$BG36), " N/A", IF(SUM($H38:$BG38)=SUM($H36:CU36), " ", IF(AW38=SUM($H36:CU36), " ", "x"))))</f>
        <v xml:space="preserve"> </v>
      </c>
      <c r="AX40" s="44" t="str">
        <f>IF(AX36= " ", " ",IF(AX38&gt;SUM($H36:$BG36), " N/A", IF(SUM($H38:$BG38)=SUM($H36:CV36), " ", IF(AX38=SUM($H36:CV36), " ", "x"))))</f>
        <v xml:space="preserve"> </v>
      </c>
      <c r="AY40" s="44" t="str">
        <f>IF(AY36= " ", " ",IF(AY38&gt;SUM($H36:$BG36), " N/A", IF(SUM($H38:$BG38)=SUM($H36:CW36), " ", IF(AY38=SUM($H36:CW36), " ", "x"))))</f>
        <v xml:space="preserve"> </v>
      </c>
      <c r="AZ40" s="44" t="str">
        <f>IF(AZ36= " ", " ",IF(AZ38&gt;SUM($H36:$BG36), " N/A", IF(SUM($H38:$BG38)=SUM($H36:CX36), " ", IF(AZ38=SUM($H36:CX36), " ", "x"))))</f>
        <v xml:space="preserve"> </v>
      </c>
      <c r="BA40" s="44" t="str">
        <f>IF(BA36= " ", " ",IF(BA38&gt;SUM($H36:$BG36), " N/A", IF(SUM($H38:$BG38)=SUM($H36:CY36), " ", IF(BA38=SUM($H36:CY36), " ", "x"))))</f>
        <v xml:space="preserve"> </v>
      </c>
      <c r="BB40" s="44" t="str">
        <f>IF(BB36= " ", " ",IF(BB38&gt;SUM($H36:$BG36), " N/A", IF(SUM($H38:$BG38)=SUM($H36:CZ36), " ", IF(BB38=SUM($H36:CZ36), " ", "x"))))</f>
        <v xml:space="preserve"> </v>
      </c>
      <c r="BC40" s="44" t="str">
        <f>IF(BC36= " ", " ",IF(BC38&gt;SUM($H36:$BG36), " N/A", IF(SUM($H38:$BG38)=SUM($H36:DA36), " ", IF(BC38=SUM($H36:DA36), " ", "x"))))</f>
        <v xml:space="preserve"> </v>
      </c>
      <c r="BD40" s="44" t="str">
        <f>IF(BD36= " ", " ",IF(BD38&gt;SUM($H36:$BG36), " N/A", IF(SUM($H38:$BG38)=SUM($H36:DB36), " ", IF(BD38=SUM($H36:DB36), " ", "x"))))</f>
        <v xml:space="preserve"> </v>
      </c>
      <c r="BE40" s="44" t="str">
        <f>IF(BE36= " ", " ",IF(BE38&gt;SUM($H36:$BG36), " N/A", IF(SUM($H38:$BG38)=SUM($H36:DC36), " ", IF(BE38=SUM($H36:DC36), " ", "x"))))</f>
        <v xml:space="preserve"> </v>
      </c>
      <c r="BF40" s="44" t="str">
        <f>IF(BF36= " ", " ",IF(BF38&gt;SUM($H36:$BG36), " N/A", IF(SUM($H38:$BG38)=SUM($H36:DD36), " ", IF(BF38=SUM($H36:DD36), " ", "x"))))</f>
        <v xml:space="preserve"> </v>
      </c>
      <c r="BG40" s="44" t="str">
        <f>IF(BG36= " ", " ",IF(BG38&gt;SUM($H36:$BG36), " N/A", IF(SUM($H38:$BG38)=SUM($H36:DE36), " ", IF(BG38=SUM($H36:DE36), " ", "x"))))</f>
        <v xml:space="preserve"> </v>
      </c>
      <c r="BH40" s="21"/>
    </row>
    <row r="41" spans="2:60" ht="15.6" x14ac:dyDescent="0.3">
      <c r="B41" s="71"/>
      <c r="C41" s="77"/>
      <c r="D41" s="82" t="s">
        <v>249</v>
      </c>
      <c r="E41" s="54">
        <f>SUM(H41:BG41)</f>
        <v>16</v>
      </c>
      <c r="F41" s="115">
        <f>Gant_24!$E41-E43</f>
        <v>0</v>
      </c>
      <c r="H41" s="41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>
        <v>16</v>
      </c>
      <c r="AD41" s="51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42"/>
      <c r="BE41" s="42"/>
      <c r="BF41" s="42"/>
      <c r="BG41" s="42"/>
      <c r="BH41" s="21"/>
    </row>
    <row r="42" spans="2:60" ht="15.6" x14ac:dyDescent="0.3">
      <c r="B42" s="68"/>
      <c r="C42" s="78"/>
      <c r="D42" s="83" t="s">
        <v>261</v>
      </c>
      <c r="E42" s="55">
        <f>SUM(H42:BG42)</f>
        <v>0</v>
      </c>
      <c r="F42" s="116"/>
      <c r="H42" s="43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50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21"/>
    </row>
    <row r="43" spans="2:60" ht="15.6" x14ac:dyDescent="0.3">
      <c r="B43" s="68" t="s">
        <v>58</v>
      </c>
      <c r="C43" s="78" t="s">
        <v>59</v>
      </c>
      <c r="D43" s="83" t="s">
        <v>241</v>
      </c>
      <c r="E43" s="55">
        <f>SUM(H43:BG43)</f>
        <v>16</v>
      </c>
      <c r="F43" s="116"/>
      <c r="H43" s="45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>
        <v>8</v>
      </c>
      <c r="AF43" s="46">
        <v>8</v>
      </c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  <c r="BF43" s="46"/>
      <c r="BG43" s="46"/>
      <c r="BH43" s="21"/>
    </row>
    <row r="44" spans="2:60" ht="15.6" x14ac:dyDescent="0.3">
      <c r="B44" s="68"/>
      <c r="C44" s="78"/>
      <c r="D44" s="83" t="s">
        <v>278</v>
      </c>
      <c r="E44" s="56">
        <f ca="1">MAX(H44:BG44)</f>
        <v>0</v>
      </c>
      <c r="F44" s="116"/>
      <c r="H44" s="47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 t="str">
        <f>IF(SUM(H41:BG41) = AC43, " 0 ", " ")</f>
        <v xml:space="preserve"> </v>
      </c>
      <c r="AD44" s="48" t="str">
        <f ca="1">IF(AD9&gt;WEEKNUM(TODAY())," ",IF(AND(AD10="x",SUM($AC43:AD43)&gt;$AC41),H9-(SUM($AC43:AC43)/SUM($AC41:$BG41)),IF(SUM($AC43:AD43)&gt;=$AC41," ",H9-(SUM($AC43:AC43)/(SUM($AC41:$BG41))))))</f>
        <v xml:space="preserve"> </v>
      </c>
      <c r="AE44" s="48" t="str">
        <f ca="1">IF(AE9&gt;WEEKNUM(TODAY())," ",IF(AND(AE10="x",SUM($AC43:AE43)&gt;$AC41),I9-(SUM($AC43:AD43)/SUM($AC41:$BG41)),IF(SUM($AC43:AE43)&gt;=$AC41," ",I9-(SUM($AC43:AD43)/(SUM($AC41:$BG41))))))</f>
        <v xml:space="preserve"> </v>
      </c>
      <c r="AF44" s="48" t="str">
        <f ca="1">IF(AF9&gt;WEEKNUM(TODAY())," ",IF(AND(AF10="x",SUM($AC43:AF43)&gt;$AC41),J9-(SUM($AC43:AE43)/SUM($AC41:$BG41)),IF(SUM($AC43:AF43)&gt;=$AC41," ",J9-(SUM($AC43:AE43)/(SUM($AC41:$BG41))))))</f>
        <v xml:space="preserve"> </v>
      </c>
      <c r="AG44" s="48" t="str">
        <f ca="1">IF(AG9&gt;WEEKNUM(TODAY())," ",IF(AND(AG10="x",SUM($AC43:AG43)&gt;$AC41),K9-(SUM($AC43:AF43)/SUM($AC41:$BG41)),IF(SUM($AC43:AG43)&gt;=$AC41," ",K9-(SUM($AC43:AF43)/(SUM($AC41:$BG41))))))</f>
        <v xml:space="preserve"> </v>
      </c>
      <c r="AH44" s="48" t="str">
        <f ca="1">IF(AH9&gt;WEEKNUM(TODAY())," ",IF(AND(AH10="x",SUM($AC43:AH43)&gt;$AC41),L9-(SUM($AC43:AG43)/SUM($AC41:$BG41)),IF(SUM($AC43:AH43)&gt;=$AC41," ",L9-(SUM($AC43:AG43)/(SUM($AC41:$BG41))))))</f>
        <v xml:space="preserve"> </v>
      </c>
      <c r="AI44" s="48" t="str">
        <f ca="1">IF(AI9&gt;WEEKNUM(TODAY())," ",IF(AND(AI10="x",SUM($AC43:AI43)&gt;$AC41),M9-(SUM($AC43:AH43)/SUM($AC41:$BG41)),IF(SUM($AC43:AI43)&gt;=$AC41," ",M9-(SUM($AC43:AH43)/(SUM($AC41:$BG41))))))</f>
        <v xml:space="preserve"> </v>
      </c>
      <c r="AJ44" s="48" t="str">
        <f ca="1">IF(AJ9&gt;WEEKNUM(TODAY())," ",IF(AND(AJ10="x",SUM($AC43:AJ43)&gt;$AC41),N9-(SUM($AC43:AI43)/SUM($AC41:$BG41)),IF(SUM($AC43:AJ43)&gt;=$AC41," ",N9-(SUM($AC43:AI43)/(SUM($AC41:$BG41))))))</f>
        <v xml:space="preserve"> </v>
      </c>
      <c r="AK44" s="48" t="str">
        <f ca="1">IF(AK9&gt;WEEKNUM(TODAY())," ",IF(AND(AK10="x",SUM($AC43:AK43)&gt;$AC41),O9-(SUM($AC43:AJ43)/SUM($AC41:$BG41)),IF(SUM($AC43:AK43)&gt;=$AC41," ",O9-(SUM($AC43:AJ43)/(SUM($AC41:$BG41))))))</f>
        <v xml:space="preserve"> </v>
      </c>
      <c r="AL44" s="48" t="str">
        <f ca="1">IF(AL9&gt;WEEKNUM(TODAY())," ",IF(AND(AL10="x",SUM($AC43:AL43)&gt;$AC41),P9-(SUM($AC43:AK43)/SUM($AC41:$BG41)),IF(SUM($AC43:AL43)&gt;=$AC41," ",P9-(SUM($AC43:AK43)/(SUM($AC41:$BG41))))))</f>
        <v xml:space="preserve"> </v>
      </c>
      <c r="AM44" s="48" t="str">
        <f ca="1">IF(AM9&gt;WEEKNUM(TODAY())," ",IF(AND(AM10="x",SUM($AC43:AM43)&gt;$AC41),Q9-(SUM($AC43:AL43)/SUM($AC41:$BG41)),IF(SUM($AC43:AM43)&gt;=$AC41," ",Q9-(SUM($AC43:AL43)/(SUM($AC41:$BG41))))))</f>
        <v xml:space="preserve"> </v>
      </c>
      <c r="AN44" s="48" t="str">
        <f ca="1">IF(AN9&gt;WEEKNUM(TODAY())," ",IF(AND(AN10="x",SUM($AC43:AN43)&gt;$AC41),R9-(SUM($AC43:AM43)/SUM($AC41:$BG41)),IF(SUM($AC43:AN43)&gt;=$AC41," ",R9-(SUM($AC43:AM43)/(SUM($AC41:$BG41))))))</f>
        <v xml:space="preserve"> </v>
      </c>
      <c r="AO44" s="48" t="str">
        <f ca="1">IF(AO9&gt;WEEKNUM(TODAY())," ",IF(AND(AO10="x",SUM($AC43:AO43)&gt;$AC41),S9-(SUM($AC43:AN43)/SUM($AC41:$BG41)),IF(SUM($AC43:AO43)&gt;=$AC41," ",S9-(SUM($AC43:AN43)/(SUM($AC41:$BG41))))))</f>
        <v xml:space="preserve"> </v>
      </c>
      <c r="AP44" s="48" t="str">
        <f ca="1">IF(AP9&gt;WEEKNUM(TODAY())," ",IF(AND(AP10="x",SUM($AC43:AP43)&gt;$AC41),T9-(SUM($AC43:AO43)/SUM($AC41:$BG41)),IF(SUM($AC43:AP43)&gt;=$AC41," ",T9-(SUM($AC43:AO43)/(SUM($AC41:$BG41))))))</f>
        <v xml:space="preserve"> </v>
      </c>
      <c r="AQ44" s="48" t="str">
        <f ca="1">IF(AQ9&gt;WEEKNUM(TODAY())," ",IF(AND(AQ10="x",SUM($AC43:AQ43)&gt;$AC41),U9-(SUM($AC43:AP43)/SUM($AC41:$BG41)),IF(SUM($AC43:AQ43)&gt;=$AC41," ",U9-(SUM($AC43:AP43)/(SUM($AC41:$BG41))))))</f>
        <v xml:space="preserve"> </v>
      </c>
      <c r="AR44" s="48" t="str">
        <f ca="1">IF(AR9&gt;WEEKNUM(TODAY())," ",IF(AND(AR10="x",SUM($AC43:AR43)&gt;$AC41),V9-(SUM($AC43:AQ43)/SUM($AC41:$BG41)),IF(SUM($AC43:AR43)&gt;=$AC41," ",V9-(SUM($AC43:AQ43)/(SUM($AC41:$BG41))))))</f>
        <v xml:space="preserve"> </v>
      </c>
      <c r="AS44" s="48" t="str">
        <f ca="1">IF(AS9&gt;WEEKNUM(TODAY())," ",IF(AND(AS10="x",SUM($AC43:AS43)&gt;$AC41),W9-(SUM($AC43:AR43)/SUM($AC41:$BG41)),IF(SUM($AC43:AS43)&gt;=$AC41," ",W9-(SUM($AC43:AR43)/(SUM($AC41:$BG41))))))</f>
        <v xml:space="preserve"> </v>
      </c>
      <c r="AT44" s="48" t="str">
        <f ca="1">IF(AT9&gt;WEEKNUM(TODAY())," ",IF(AND(AT10="x",SUM($AC43:AT43)&gt;$AC41),X9-(SUM($AC43:AS43)/SUM($AC41:$BG41)),IF(SUM($AC43:AT43)&gt;=$AC41," ",X9-(SUM($AC43:AS43)/(SUM($AC41:$BG41))))))</f>
        <v xml:space="preserve"> </v>
      </c>
      <c r="AU44" s="48" t="str">
        <f ca="1">IF(AU9&gt;WEEKNUM(TODAY())," ",IF(AND(AU10="x",SUM($AC43:AU43)&gt;$AC41),Y9-(SUM($AC43:AT43)/SUM($AC41:$BG41)),IF(SUM($AC43:AU43)&gt;=$AC41," ",Y9-(SUM($AC43:AT43)/(SUM($AC41:$BG41))))))</f>
        <v xml:space="preserve"> </v>
      </c>
      <c r="AV44" s="48" t="str">
        <f ca="1">IF(AV9&gt;WEEKNUM(TODAY())," ",IF(AND(AV10="x",SUM($AC43:AV43)&gt;$AC41),Z9-(SUM($AC43:AU43)/SUM($AC41:$BG41)),IF(SUM($AC43:AV43)&gt;=$AC41," ",Z9-(SUM($AC43:AU43)/(SUM($AC41:$BG41))))))</f>
        <v xml:space="preserve"> </v>
      </c>
      <c r="AW44" s="48" t="str">
        <f ca="1">IF(AW9&gt;WEEKNUM(TODAY())," ",IF(AND(AW10="x",SUM($AC43:AW43)&gt;$AC41),AA9-(SUM($AC43:AV43)/SUM($AC41:$BG41)),IF(SUM($AC43:AW43)&gt;=$AC41," ",AA9-(SUM($AC43:AV43)/(SUM($AC41:$BG41))))))</f>
        <v xml:space="preserve"> </v>
      </c>
      <c r="AX44" s="48" t="str">
        <f ca="1">IF(AX9&gt;WEEKNUM(TODAY())," ",IF(AND(AX10="x",SUM($AC43:AX43)&gt;$AC41),AB9-(SUM($AC43:AW43)/SUM($AC41:$BG41)),IF(SUM($AC43:AX43)&gt;=$AC41," ",AB9-(SUM($AC43:AW43)/(SUM($AC41:$BG41))))))</f>
        <v xml:space="preserve"> </v>
      </c>
      <c r="AY44" s="48" t="str">
        <f ca="1">IF(AY9&gt;WEEKNUM(TODAY())," ",IF(AND(AY10="x",SUM($AC43:AY43)&gt;$AC41),AC9-(SUM($AC43:AX43)/SUM($AC41:$BG41)),IF(SUM($AC43:AY43)&gt;=$AC41," ",AC9-(SUM($AC43:AX43)/(SUM($AC41:$BG41))))))</f>
        <v xml:space="preserve"> </v>
      </c>
      <c r="AZ44" s="48" t="str">
        <f ca="1">IF(AZ9&gt;WEEKNUM(TODAY())," ",IF(AND(AZ10="x",SUM($AC43:AZ43)&gt;$AC41),AD9-(SUM($AC43:AY43)/SUM($AC41:$BG41)),IF(SUM($AC43:AZ43)&gt;=$AC41," ",AD9-(SUM($AC43:AY43)/(SUM($AC41:$BG41))))))</f>
        <v xml:space="preserve"> </v>
      </c>
      <c r="BA44" s="48" t="str">
        <f ca="1">IF(BA9&gt;WEEKNUM(TODAY())," ",IF(AND(BA10="x",SUM($AC43:BA43)&gt;$AC41),AE9-(SUM($AC43:AZ43)/SUM($AC41:$BG41)),IF(SUM($AC43:BA43)&gt;=$AC41," ",AE9-(SUM($AC43:AZ43)/(SUM($AC41:$BG41))))))</f>
        <v xml:space="preserve"> </v>
      </c>
      <c r="BB44" s="48" t="str">
        <f ca="1">IF(BB9&gt;WEEKNUM(TODAY())," ",IF(AND(BB10="x",SUM($AC43:BB43)&gt;$AC41),AF9-(SUM($AC43:BA43)/SUM($AC41:$BG41)),IF(SUM($AC43:BB43)&gt;=$AC41," ",AF9-(SUM($AC43:BA43)/(SUM($AC41:$BG41))))))</f>
        <v xml:space="preserve"> </v>
      </c>
      <c r="BC44" s="48" t="str">
        <f ca="1">IF(BC9&gt;WEEKNUM(TODAY())," ",IF(AND(BC10="x",SUM($AC43:BC43)&gt;$AC41),AG9-(SUM($AC43:BB43)/SUM($AC41:$BG41)),IF(SUM($AC43:BC43)&gt;=$AC41," ",AG9-(SUM($AC43:BB43)/(SUM($AC41:$BG41))))))</f>
        <v xml:space="preserve"> </v>
      </c>
      <c r="BD44" s="48" t="str">
        <f ca="1">IF(BD9&gt;WEEKNUM(TODAY())," ",IF(AND(BD10="x",SUM($AC43:BD43)&gt;$AC41),AH9-(SUM($AC43:BC43)/SUM($AC41:$BG41)),IF(SUM($AC43:BD43)&gt;=$AC41," ",AH9-(SUM($AC43:BC43)/(SUM($AC41:$BG41))))))</f>
        <v xml:space="preserve"> </v>
      </c>
      <c r="BE44" s="48" t="str">
        <f ca="1">IF(BE9&gt;WEEKNUM(TODAY())," ",IF(AND(BE10="x",SUM($AC43:BE43)&gt;$AC41),AI9-(SUM($AC43:BD43)/SUM($AC41:$BG41)),IF(SUM($AC43:BE43)&gt;=$AC41," ",AI9-(SUM($AC43:BD43)/(SUM($AC41:$BG41))))))</f>
        <v xml:space="preserve"> </v>
      </c>
      <c r="BF44" s="48" t="str">
        <f ca="1">IF(BF9&gt;WEEKNUM(TODAY())," ",IF(AND(BF10="x",SUM($AC43:BF43)&gt;$AC41),AJ9-(SUM($AC43:BE43)/SUM($AC41:$BG41)),IF(SUM($AC43:BF43)&gt;=$AC41," ",AJ9-(SUM($AC43:BE43)/(SUM($AC41:$BG41))))))</f>
        <v xml:space="preserve"> </v>
      </c>
      <c r="BG44" s="48" t="str">
        <f ca="1">IF(BG9&gt;WEEKNUM(TODAY())," ",IF(AND(BG10="x",SUM($AC43:BG43)&gt;$AC41),AK9-(SUM($AC43:BF43)/SUM($AC41:$BG41)),IF(SUM($AC43:BG43)&gt;=$AC41," ",AK9-(SUM($AC43:BF43)/(SUM($AC41:$BG41))))))</f>
        <v xml:space="preserve"> </v>
      </c>
      <c r="BH44" s="21"/>
    </row>
    <row r="45" spans="2:60" ht="16.2" thickBot="1" x14ac:dyDescent="0.35">
      <c r="B45" s="70"/>
      <c r="C45" s="79"/>
      <c r="D45" s="84"/>
      <c r="E45" s="57"/>
      <c r="F45" s="117"/>
      <c r="H45" s="49" t="str">
        <f>IF(H41= " ", " ",IF(H43&gt;SUM($H41:$BG41), " N/A", IF(SUM($H43:$BG43)=SUM($H41:BG41), " ", IF(H43=SUM($H41:BG41), " ", "x"))))</f>
        <v xml:space="preserve"> </v>
      </c>
      <c r="I45" s="50" t="str">
        <f>IF(SUM($H43:I43) &gt; SUM($H41:I41),  " N/A", IF(SUM($H43:$BG43) = SUM($H41:$BH41),    " ",IF(I43 = SUM($H41:$BH41),  " ",   "x")))</f>
        <v xml:space="preserve"> </v>
      </c>
      <c r="J45" s="50" t="str">
        <f>IF(SUM($H43:J43) &gt; SUM($H41:J41),  " N/A", IF(SUM($H43:$BG43) = SUM($H41:$BH41),    " ",IF(J43 = SUM($H41:$BH41),  " ",   "x")))</f>
        <v xml:space="preserve"> </v>
      </c>
      <c r="K45" s="50" t="str">
        <f>IF(SUM($H43:K43) &gt; SUM($H41:K41),  " N/A", IF(SUM($H43:$BG43) = SUM($H41:$BH41),    " ",IF(K43 = SUM($H41:$BH41),  " ",   "x")))</f>
        <v xml:space="preserve"> </v>
      </c>
      <c r="L45" s="50" t="str">
        <f>IF(L41= " ", " ",IF(L43&gt;SUM($H41:$BG41), " N/A", IF(SUM($H43:$BG43)=SUM($H41:BJ41), " ", IF(L43=SUM($H41:BJ41), " ", "x"))))</f>
        <v xml:space="preserve"> </v>
      </c>
      <c r="M45" s="50" t="str">
        <f>IF(M41= " ", " ",IF(M43&gt;SUM($H41:$BG41), " N/A", IF(SUM($H43:$BG43)=SUM($H41:BK41), " ", IF(M43=SUM($H41:BK41), " ", "x"))))</f>
        <v xml:space="preserve"> </v>
      </c>
      <c r="N45" s="50" t="str">
        <f>IF(N41= " ", " ",IF(N43&gt;SUM($H41:$BG41), " N/A", IF(SUM($H43:$BG43)=SUM($H41:BL41), " ", IF(N43=SUM($H41:BL41), " ", "x"))))</f>
        <v xml:space="preserve"> </v>
      </c>
      <c r="O45" s="50" t="str">
        <f>IF(O41= " ", " ",IF(O43&gt;SUM($H41:$BG41), " N/A", IF(SUM($H43:$BG43)=SUM($H41:BM41), " ", IF(O43=SUM($H41:BM41), " ", "x"))))</f>
        <v xml:space="preserve"> </v>
      </c>
      <c r="P45" s="50" t="str">
        <f>IF(P41= " ", " ",IF(P43&gt;SUM($H41:$BG41), " N/A", IF(SUM($H43:$BG43)=SUM($H41:BN41), " ", IF(P43=SUM($H41:BN41), " ", "x"))))</f>
        <v xml:space="preserve"> </v>
      </c>
      <c r="Q45" s="50" t="str">
        <f>IF(Q41= " ", " ",IF(Q43&gt;SUM($H41:$BG41), " N/A", IF(SUM($H43:$BG43)=SUM($H41:BO41), " ", IF(Q43=SUM($H41:BO41), " ", "x"))))</f>
        <v xml:space="preserve"> </v>
      </c>
      <c r="R45" s="50" t="str">
        <f>IF(R41= " ", " ",IF(R43&gt;SUM($H41:$BG41), " N/A", IF(SUM($H43:$BG43)=SUM($H41:BP41), " ", IF(R43=SUM($H41:BP41), " ", "x"))))</f>
        <v xml:space="preserve"> </v>
      </c>
      <c r="S45" s="50" t="str">
        <f>IF(S41= " ", " ",IF(S43&gt;SUM($H41:$BG41), " N/A", IF(SUM($H43:$BG43)=SUM($H41:BQ41), " ", IF(S43=SUM($H41:BQ41), " ", "x"))))</f>
        <v xml:space="preserve"> </v>
      </c>
      <c r="T45" s="50" t="str">
        <f>IF(T41= " ", " ",IF(T43&gt;SUM($H41:$BG41), " N/A", IF(SUM($H43:$BG43)=SUM($H41:BR41), " ", IF(T43=SUM($H41:BR41), " ", "x"))))</f>
        <v xml:space="preserve"> </v>
      </c>
      <c r="U45" s="50" t="str">
        <f>IF(U41= " ", " ",IF(U43&gt;SUM($H41:$BG41), " N/A", IF(SUM($H43:$BG43)=SUM($H41:BS41), " ", IF(U43=SUM($H41:BS41), " ", "x"))))</f>
        <v xml:space="preserve"> </v>
      </c>
      <c r="V45" s="50" t="str">
        <f>IF(V41= " ", " ",IF(V43&gt;SUM($H41:$BG41), " N/A", IF(SUM($H43:$BG43)=SUM($H41:BT41), " ", IF(V43=SUM($H41:BT41), " ", "x"))))</f>
        <v xml:space="preserve"> </v>
      </c>
      <c r="W45" s="50" t="str">
        <f>IF(W41= " ", " ",IF(W43&gt;SUM($H41:$BG41), " N/A", IF(SUM($H43:$BG43)=SUM($H41:BU41), " ", IF(W43=SUM($H41:BU41), " ", "x"))))</f>
        <v xml:space="preserve"> </v>
      </c>
      <c r="X45" s="50" t="str">
        <f>IF(X41= " ", " ",IF(X43&gt;SUM($H41:$BG41), " N/A", IF(SUM($H43:$BG43)=SUM($H41:BV41), " ", IF(X43=SUM($H41:BV41), " ", "x"))))</f>
        <v xml:space="preserve"> </v>
      </c>
      <c r="Y45" s="50" t="str">
        <f>IF(Y41= " ", " ",IF(Y43&gt;SUM($H41:$BG41), " N/A", IF(SUM($H43:$BG43)=SUM($H41:BW41), " ", IF(Y43=SUM($H41:BW41), " ", "x"))))</f>
        <v xml:space="preserve"> </v>
      </c>
      <c r="Z45" s="50" t="str">
        <f>IF(Z41= " ", " ",IF(Z43&gt;SUM($H41:$BG41), " N/A", IF(SUM($H43:$BG43)=SUM($H41:BX41), " ", IF(Z43=SUM($H41:BX41), " ", "x"))))</f>
        <v xml:space="preserve"> </v>
      </c>
      <c r="AA45" s="50" t="str">
        <f>IF(AA41= " ", " ",IF(AA43&gt;SUM($H41:$BG41), " N/A", IF(SUM($H43:$BG43)=SUM($H41:BY41), " ", IF(AA43=SUM($H41:BY41), " ", "x"))))</f>
        <v xml:space="preserve"> </v>
      </c>
      <c r="AB45" s="50" t="str">
        <f>IF(AB41= " ", " ",IF(AB43&gt;SUM($H41:$BG41), " N/A", IF(SUM($H43:$BG43)=SUM($H41:BZ41), " ", IF(AB43=SUM($H41:BZ41), " ", "x"))))</f>
        <v xml:space="preserve"> </v>
      </c>
      <c r="AC45" s="50" t="str">
        <f>IF(AC41= " ", " ",IF(AC43&gt;SUM($H41:$BG41), " N/A", IF(SUM($H43:$BG43)=SUM($H41:CA41), " ", IF(AC43=SUM($H41:CA41), " ", "x"))))</f>
        <v xml:space="preserve"> </v>
      </c>
      <c r="AD45" s="44" t="str">
        <f>IF(SUM($H43:AD43) &gt; SUM($H41:AD41),  " N/A", IF(SUM($H43:$BG43) = SUM($H36:$BH36),    " ",IF(AD43 = SUM($H36:$BH36),  " ",   "x")))</f>
        <v xml:space="preserve"> </v>
      </c>
      <c r="AE45" s="50" t="str">
        <f>IF(AE41= " ", " ",IF(AE43&gt;SUM($H41:$BG41), " N/A", IF(SUM($H43:$BG43)=SUM($H41:CC41), " ", IF(AE43=SUM($H41:CC41), " ", "x"))))</f>
        <v xml:space="preserve"> </v>
      </c>
      <c r="AF45" s="50" t="str">
        <f>IF(AF41= " ", " ",IF(AF43&gt;SUM($H41:$BG41), " N/A", IF(SUM($H43:$BG43)=SUM($H41:CD41), " ", IF(AF43=SUM($H41:CD41), " ", "x"))))</f>
        <v xml:space="preserve"> </v>
      </c>
      <c r="AG45" s="50" t="str">
        <f>IF(AG41= " ", " ",IF(AG43&gt;SUM($H41:$BG41), " N/A", IF(SUM($H43:$BG43)=SUM($H41:CE41), " ", IF(AG43=SUM($H41:CE41), " ", "x"))))</f>
        <v xml:space="preserve"> </v>
      </c>
      <c r="AH45" s="50" t="str">
        <f>IF(AH41= " ", " ",IF(AH43&gt;SUM($H41:$BG41), " N/A", IF(SUM($H43:$BG43)=SUM($H41:CF41), " ", IF(AH43=SUM($H41:CF41), " ", "x"))))</f>
        <v xml:space="preserve"> </v>
      </c>
      <c r="AI45" s="50" t="str">
        <f>IF(AI41= " ", " ",IF(AI43&gt;SUM($H41:$BG41), " N/A", IF(SUM($H43:$BG43)=SUM($H41:CG41), " ", IF(AI43=SUM($H41:CG41), " ", "x"))))</f>
        <v xml:space="preserve"> </v>
      </c>
      <c r="AJ45" s="50" t="str">
        <f>IF(AJ41= " ", " ",IF(AJ43&gt;SUM($H41:$BG41), " N/A", IF(SUM($H43:$BG43)=SUM($H41:CH41), " ", IF(AJ43=SUM($H41:CH41), " ", "x"))))</f>
        <v xml:space="preserve"> </v>
      </c>
      <c r="AK45" s="50" t="str">
        <f>IF(AK41= " ", " ",IF(AK43&gt;SUM($H41:$BG41), " N/A", IF(SUM($H43:$BG43)=SUM($H41:CI41), " ", IF(AK43=SUM($H41:CI41), " ", "x"))))</f>
        <v xml:space="preserve"> </v>
      </c>
      <c r="AL45" s="50" t="str">
        <f>IF(AL41= " ", " ",IF(AL43&gt;SUM($H41:$BG41), " N/A", IF(SUM($H43:$BG43)=SUM($H41:CJ41), " ", IF(AL43=SUM($H41:CJ41), " ", "x"))))</f>
        <v xml:space="preserve"> </v>
      </c>
      <c r="AM45" s="50" t="str">
        <f>IF(AM41= " ", " ",IF(AM43&gt;SUM($H41:$BG41), " N/A", IF(SUM($H43:$BG43)=SUM($H41:CK41), " ", IF(AM43=SUM($H41:CK41), " ", "x"))))</f>
        <v xml:space="preserve"> </v>
      </c>
      <c r="AN45" s="50" t="str">
        <f>IF(AN41= " ", " ",IF(AN43&gt;SUM($H41:$BG41), " N/A", IF(SUM($H43:$BG43)=SUM($H41:CL41), " ", IF(AN43=SUM($H41:CL41), " ", "x"))))</f>
        <v xml:space="preserve"> </v>
      </c>
      <c r="AO45" s="50" t="str">
        <f>IF(AO41= " ", " ",IF(AO43&gt;SUM($H41:$BG41), " N/A", IF(SUM($H43:$BG43)=SUM($H41:CM41), " ", IF(AO43=SUM($H41:CM41), " ", "x"))))</f>
        <v xml:space="preserve"> </v>
      </c>
      <c r="AP45" s="50" t="str">
        <f>IF(AP41= " ", " ",IF(AP43&gt;SUM($H41:$BG41), " N/A", IF(SUM($H43:$BG43)=SUM($H41:CN41), " ", IF(AP43=SUM($H41:CN41), " ", "x"))))</f>
        <v xml:space="preserve"> </v>
      </c>
      <c r="AQ45" s="50" t="str">
        <f>IF(AQ41= " ", " ",IF(AQ43&gt;SUM($H41:$BG41), " N/A", IF(SUM($H43:$BG43)=SUM($H41:CO41), " ", IF(AQ43=SUM($H41:CO41), " ", "x"))))</f>
        <v xml:space="preserve"> </v>
      </c>
      <c r="AR45" s="50" t="str">
        <f>IF(AR41= " ", " ",IF(AR43&gt;SUM($H41:$BG41), " N/A", IF(SUM($H43:$BG43)=SUM($H41:CP41), " ", IF(AR43=SUM($H41:CP41), " ", "x"))))</f>
        <v xml:space="preserve"> </v>
      </c>
      <c r="AS45" s="50" t="str">
        <f>IF(AS41= " ", " ",IF(AS43&gt;SUM($H41:$BG41), " N/A", IF(SUM($H43:$BG43)=SUM($H41:CQ41), " ", IF(AS43=SUM($H41:CQ41), " ", "x"))))</f>
        <v xml:space="preserve"> </v>
      </c>
      <c r="AT45" s="50" t="str">
        <f>IF(AT41= " ", " ",IF(AT43&gt;SUM($H41:$BG41), " N/A", IF(SUM($H43:$BG43)=SUM($H41:CR41), " ", IF(AT43=SUM($H41:CR41), " ", "x"))))</f>
        <v xml:space="preserve"> </v>
      </c>
      <c r="AU45" s="50" t="str">
        <f>IF(AU41= " ", " ",IF(AU43&gt;SUM($H41:$BG41), " N/A", IF(SUM($H43:$BG43)=SUM($H41:CS41), " ", IF(AU43=SUM($H41:CS41), " ", "x"))))</f>
        <v xml:space="preserve"> </v>
      </c>
      <c r="AV45" s="50" t="str">
        <f>IF(AV41= " ", " ",IF(AV43&gt;SUM($H41:$BG41), " N/A", IF(SUM($H43:$BG43)=SUM($H41:CT41), " ", IF(AV43=SUM($H41:CT41), " ", "x"))))</f>
        <v xml:space="preserve"> </v>
      </c>
      <c r="AW45" s="50" t="str">
        <f>IF(AW41= " ", " ",IF(AW43&gt;SUM($H41:$BG41), " N/A", IF(SUM($H43:$BG43)=SUM($H41:CU41), " ", IF(AW43=SUM($H41:CU41), " ", "x"))))</f>
        <v xml:space="preserve"> </v>
      </c>
      <c r="AX45" s="50" t="str">
        <f>IF(AX41= " ", " ",IF(AX43&gt;SUM($H41:$BG41), " N/A", IF(SUM($H43:$BG43)=SUM($H41:CV41), " ", IF(AX43=SUM($H41:CV41), " ", "x"))))</f>
        <v xml:space="preserve"> </v>
      </c>
      <c r="AY45" s="50" t="str">
        <f>IF(AY41= " ", " ",IF(AY43&gt;SUM($H41:$BG41), " N/A", IF(SUM($H43:$BG43)=SUM($H41:CW41), " ", IF(AY43=SUM($H41:CW41), " ", "x"))))</f>
        <v xml:space="preserve"> </v>
      </c>
      <c r="AZ45" s="50" t="str">
        <f>IF(AZ41= " ", " ",IF(AZ43&gt;SUM($H41:$BG41), " N/A", IF(SUM($H43:$BG43)=SUM($H41:CX41), " ", IF(AZ43=SUM($H41:CX41), " ", "x"))))</f>
        <v xml:space="preserve"> </v>
      </c>
      <c r="BA45" s="50" t="str">
        <f>IF(BA41= " ", " ",IF(BA43&gt;SUM($H41:$BG41), " N/A", IF(SUM($H43:$BG43)=SUM($H41:CY41), " ", IF(BA43=SUM($H41:CY41), " ", "x"))))</f>
        <v xml:space="preserve"> </v>
      </c>
      <c r="BB45" s="50" t="str">
        <f>IF(BB41= " ", " ",IF(BB43&gt;SUM($H41:$BG41), " N/A", IF(SUM($H43:$BG43)=SUM($H41:CZ41), " ", IF(BB43=SUM($H41:CZ41), " ", "x"))))</f>
        <v xml:space="preserve"> </v>
      </c>
      <c r="BC45" s="50" t="str">
        <f>IF(BC41= " ", " ",IF(BC43&gt;SUM($H41:$BG41), " N/A", IF(SUM($H43:$BG43)=SUM($H41:DA41), " ", IF(BC43=SUM($H41:DA41), " ", "x"))))</f>
        <v xml:space="preserve"> </v>
      </c>
      <c r="BD45" s="50" t="str">
        <f>IF(BD41= " ", " ",IF(BD43&gt;SUM($H41:$BG41), " N/A", IF(SUM($H43:$BG43)=SUM($H41:DB41), " ", IF(BD43=SUM($H41:DB41), " ", "x"))))</f>
        <v xml:space="preserve"> </v>
      </c>
      <c r="BE45" s="50" t="str">
        <f>IF(BE41= " ", " ",IF(BE43&gt;SUM($H41:$BG41), " N/A", IF(SUM($H43:$BG43)=SUM($H41:DC41), " ", IF(BE43=SUM($H41:DC41), " ", "x"))))</f>
        <v xml:space="preserve"> </v>
      </c>
      <c r="BF45" s="50" t="str">
        <f>IF(BF41= " ", " ",IF(BF43&gt;SUM($H41:$BG41), " N/A", IF(SUM($H43:$BG43)=SUM($H41:DD41), " ", IF(BF43=SUM($H41:DD41), " ", "x"))))</f>
        <v xml:space="preserve"> </v>
      </c>
      <c r="BG45" s="50" t="str">
        <f>IF(BG41= " ", " ",IF(BG43&gt;SUM($H41:$BG41), " N/A", IF(SUM($H43:$BG43)=SUM($H41:DE41), " ", IF(BG43=SUM($H41:DE41), " ", "x"))))</f>
        <v xml:space="preserve"> </v>
      </c>
      <c r="BH45" s="21"/>
    </row>
    <row r="46" spans="2:60" ht="15.6" x14ac:dyDescent="0.3">
      <c r="B46" s="71"/>
      <c r="C46" s="77"/>
      <c r="D46" s="82" t="s">
        <v>249</v>
      </c>
      <c r="E46" s="54">
        <f>SUM(H46:BG46)</f>
        <v>16</v>
      </c>
      <c r="F46" s="115">
        <f>Gant_24!$E46-E48</f>
        <v>0</v>
      </c>
      <c r="H46" s="41"/>
      <c r="I46" s="42"/>
      <c r="J46" s="42"/>
      <c r="K46" s="42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>
        <v>16</v>
      </c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  <c r="AR46" s="51"/>
      <c r="AS46" s="51"/>
      <c r="AT46" s="51"/>
      <c r="AU46" s="51"/>
      <c r="AV46" s="51"/>
      <c r="AW46" s="51"/>
      <c r="AX46" s="51"/>
      <c r="AY46" s="51"/>
      <c r="AZ46" s="51"/>
      <c r="BA46" s="51"/>
      <c r="BB46" s="51"/>
      <c r="BC46" s="51"/>
      <c r="BD46" s="51"/>
      <c r="BE46" s="51"/>
      <c r="BF46" s="51"/>
      <c r="BG46" s="51"/>
      <c r="BH46" s="21"/>
    </row>
    <row r="47" spans="2:60" ht="15.6" x14ac:dyDescent="0.3">
      <c r="B47" s="68"/>
      <c r="C47" s="78"/>
      <c r="D47" s="83" t="s">
        <v>261</v>
      </c>
      <c r="E47" s="55">
        <f>SUM(H47:BG47)</f>
        <v>0</v>
      </c>
      <c r="F47" s="116"/>
      <c r="H47" s="43"/>
      <c r="I47" s="44"/>
      <c r="J47" s="44"/>
      <c r="K47" s="44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  <c r="AJ47" s="50"/>
      <c r="AK47" s="50"/>
      <c r="AL47" s="50"/>
      <c r="AM47" s="50"/>
      <c r="AN47" s="50"/>
      <c r="AO47" s="50"/>
      <c r="AP47" s="50"/>
      <c r="AQ47" s="50"/>
      <c r="AR47" s="50"/>
      <c r="AS47" s="50"/>
      <c r="AT47" s="50"/>
      <c r="AU47" s="50"/>
      <c r="AV47" s="50"/>
      <c r="AW47" s="50"/>
      <c r="AX47" s="50"/>
      <c r="AY47" s="50"/>
      <c r="AZ47" s="50"/>
      <c r="BA47" s="50"/>
      <c r="BB47" s="50"/>
      <c r="BC47" s="50"/>
      <c r="BD47" s="50"/>
      <c r="BE47" s="50"/>
      <c r="BF47" s="50"/>
      <c r="BG47" s="50"/>
      <c r="BH47" s="21"/>
    </row>
    <row r="48" spans="2:60" ht="15.6" x14ac:dyDescent="0.3">
      <c r="B48" s="68" t="s">
        <v>62</v>
      </c>
      <c r="C48" s="78" t="s">
        <v>63</v>
      </c>
      <c r="D48" s="83" t="s">
        <v>241</v>
      </c>
      <c r="E48" s="55">
        <f>SUM(H48:BG48)</f>
        <v>16</v>
      </c>
      <c r="F48" s="116"/>
      <c r="H48" s="45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>
        <v>16</v>
      </c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  <c r="BF48" s="46"/>
      <c r="BG48" s="46"/>
      <c r="BH48" s="21"/>
    </row>
    <row r="49" spans="2:60" ht="15.6" x14ac:dyDescent="0.3">
      <c r="B49" s="68"/>
      <c r="C49" s="78"/>
      <c r="D49" s="83" t="s">
        <v>278</v>
      </c>
      <c r="E49" s="56">
        <f ca="1">MAX(H49:BG49)</f>
        <v>0</v>
      </c>
      <c r="F49" s="116"/>
      <c r="H49" s="47"/>
      <c r="I49" s="48"/>
      <c r="J49" s="48"/>
      <c r="K49" s="48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48"/>
      <c r="AB49" s="48"/>
      <c r="AC49" s="48" t="str">
        <f>IF(SUM(H46:BG46) = AC48, " 0 ", " ")</f>
        <v xml:space="preserve"> </v>
      </c>
      <c r="AD49" s="48" t="str">
        <f ca="1">IF(AD9&gt;WEEKNUM(TODAY())," ", IF(AND(AD10="x",SUM($AC48:AD48)&gt;$AC46),H9-(SUM($AC48:AC48)/SUM($AC46:$BG46)),IF(SUM($AC48:AD48)&gt;=$AC46," ",H9-(SUM($AC48:AC48)/(SUM($AC46:$BG46))))))</f>
        <v xml:space="preserve"> </v>
      </c>
      <c r="AE49" s="48" t="str">
        <f ca="1">IF(AE9&gt;WEEKNUM(TODAY())," ", IF(AND(AE10="x",SUM($AC48:AE48)&gt;$AC46),I9-(SUM($AC48:AD48)/SUM($AC46:$BG46)),IF(SUM($AC48:AE48)&gt;=$AC46," ",I9-(SUM($AC48:AD48)/(SUM($AC46:$BG46))))))</f>
        <v xml:space="preserve"> </v>
      </c>
      <c r="AF49" s="48" t="str">
        <f ca="1">IF(AF9&gt;WEEKNUM(TODAY())," ", IF(AND(AF10="x",SUM($AC48:AF48)&gt;$AC46),J9-(SUM($AC48:AE48)/SUM($AC46:$BG46)),IF(SUM($AC48:AF48)&gt;=$AC46," ",J9-(SUM($AC48:AE48)/(SUM($AC46:$BG46))))))</f>
        <v xml:space="preserve"> </v>
      </c>
      <c r="AG49" s="48" t="str">
        <f ca="1">IF(AG9&gt;WEEKNUM(TODAY())," ", IF(AND(AG10="x",SUM($AC48:AG48)&gt;$AC46),K9-(SUM($AC48:AF48)/SUM($AC46:$BG46)),IF(SUM($AC48:AG48)&gt;=$AC46," ",K9-(SUM($AC48:AF48)/(SUM($AC46:$BG46))))))</f>
        <v xml:space="preserve"> </v>
      </c>
      <c r="AH49" s="48" t="str">
        <f ca="1">IF(AH9&gt;WEEKNUM(TODAY())," ", IF(AND(AH10="x",SUM($AC48:AH48)&gt;$AC46),L9-(SUM($AC48:AG48)/SUM($AC46:$BG46)),IF(SUM($AC48:AH48)&gt;=$AC46," ",L9-(SUM($AC48:AG48)/(SUM($AC46:$BG46))))))</f>
        <v xml:space="preserve"> </v>
      </c>
      <c r="AI49" s="48" t="str">
        <f ca="1">IF(AI9&gt;WEEKNUM(TODAY())," ", IF(AND(AI10="x",SUM($AC48:AI48)&gt;$AC46),M9-(SUM($AC48:AH48)/SUM($AC46:$BG46)),IF(SUM($AC48:AI48)&gt;=$AC46," ",M9-(SUM($AC48:AH48)/(SUM($AC46:$BG46))))))</f>
        <v xml:space="preserve"> </v>
      </c>
      <c r="AJ49" s="48" t="str">
        <f ca="1">IF(AJ9&gt;WEEKNUM(TODAY())," ", IF(AND(AJ10="x",SUM($AC48:AJ48)&gt;$AC46),N9-(SUM($AC48:AI48)/SUM($AC46:$BG46)),IF(SUM($AC48:AJ48)&gt;=$AC46," ",N9-(SUM($AC48:AI48)/(SUM($AC46:$BG46))))))</f>
        <v xml:space="preserve"> </v>
      </c>
      <c r="AK49" s="48" t="str">
        <f ca="1">IF(AK9&gt;WEEKNUM(TODAY())," ", IF(AND(AK10="x",SUM($AC48:AK48)&gt;$AC46),O9-(SUM($AC48:AJ48)/SUM($AC46:$BG46)),IF(SUM($AC48:AK48)&gt;=$AC46," ",O9-(SUM($AC48:AJ48)/(SUM($AC46:$BG46))))))</f>
        <v xml:space="preserve"> </v>
      </c>
      <c r="AL49" s="48" t="str">
        <f ca="1">IF(AL9&gt;WEEKNUM(TODAY())," ", IF(AND(AL10="x",SUM($AC48:AL48)&gt;$AC46),P9-(SUM($AC48:AK48)/SUM($AC46:$BG46)),IF(SUM($AC48:AL48)&gt;=$AC46," ",P9-(SUM($AC48:AK48)/(SUM($AC46:$BG46))))))</f>
        <v xml:space="preserve"> </v>
      </c>
      <c r="AM49" s="48" t="str">
        <f ca="1">IF(AM9&gt;WEEKNUM(TODAY())," ", IF(AND(AM10="x",SUM($AC48:AM48)&gt;$AC46),Q9-(SUM($AC48:AL48)/SUM($AC46:$BG46)),IF(SUM($AC48:AM48)&gt;=$AC46," ",Q9-(SUM($AC48:AL48)/(SUM($AC46:$BG46))))))</f>
        <v xml:space="preserve"> </v>
      </c>
      <c r="AN49" s="48" t="str">
        <f ca="1">IF(AN9&gt;WEEKNUM(TODAY())," ", IF(AND(AN10="x",SUM($AC48:AN48)&gt;$AC46),R9-(SUM($AC48:AM48)/SUM($AC46:$BG46)),IF(SUM($AC48:AN48)&gt;=$AC46," ",R9-(SUM($AC48:AM48)/(SUM($AC46:$BG46))))))</f>
        <v xml:space="preserve"> </v>
      </c>
      <c r="AO49" s="48" t="str">
        <f ca="1">IF(AO9&gt;WEEKNUM(TODAY())," ", IF(AND(AO10="x",SUM($AC48:AO48)&gt;$AC46),S9-(SUM($AC48:AN48)/SUM($AC46:$BG46)),IF(SUM($AC48:AO48)&gt;=$AC46," ",S9-(SUM($AC48:AN48)/(SUM($AC46:$BG46))))))</f>
        <v xml:space="preserve"> </v>
      </c>
      <c r="AP49" s="48" t="str">
        <f ca="1">IF(AP9&gt;WEEKNUM(TODAY())," ", IF(AND(AP10="x",SUM($AC48:AP48)&gt;$AC46),T9-(SUM($AC48:AO48)/SUM($AC46:$BG46)),IF(SUM($AC48:AP48)&gt;=$AC46," ",T9-(SUM($AC48:AO48)/(SUM($AC46:$BG46))))))</f>
        <v xml:space="preserve"> </v>
      </c>
      <c r="AQ49" s="48" t="str">
        <f ca="1">IF(AQ9&gt;WEEKNUM(TODAY())," ", IF(AND(AQ10="x",SUM($AC48:AQ48)&gt;$AC46),U9-(SUM($AC48:AP48)/SUM($AC46:$BG46)),IF(SUM($AC48:AQ48)&gt;=$AC46," ",U9-(SUM($AC48:AP48)/(SUM($AC46:$BG46))))))</f>
        <v xml:space="preserve"> </v>
      </c>
      <c r="AR49" s="48" t="str">
        <f ca="1">IF(AR9&gt;WEEKNUM(TODAY())," ", IF(AND(AR10="x",SUM($AC48:AR48)&gt;$AC46),V9-(SUM($AC48:AQ48)/SUM($AC46:$BG46)),IF(SUM($AC48:AR48)&gt;=$AC46," ",V9-(SUM($AC48:AQ48)/(SUM($AC46:$BG46))))))</f>
        <v xml:space="preserve"> </v>
      </c>
      <c r="AS49" s="48" t="str">
        <f ca="1">IF(AS9&gt;WEEKNUM(TODAY())," ", IF(AND(AS10="x",SUM($AC48:AS48)&gt;$AC46),W9-(SUM($AC48:AR48)/SUM($AC46:$BG46)),IF(SUM($AC48:AS48)&gt;=$AC46," ",W9-(SUM($AC48:AR48)/(SUM($AC46:$BG46))))))</f>
        <v xml:space="preserve"> </v>
      </c>
      <c r="AT49" s="48" t="str">
        <f ca="1">IF(AT9&gt;WEEKNUM(TODAY())," ", IF(AND(AT10="x",SUM($AC48:AT48)&gt;$AC46),X9-(SUM($AC48:AS48)/SUM($AC46:$BG46)),IF(SUM($AC48:AT48)&gt;=$AC46," ",X9-(SUM($AC48:AS48)/(SUM($AC46:$BG46))))))</f>
        <v xml:space="preserve"> </v>
      </c>
      <c r="AU49" s="48" t="str">
        <f ca="1">IF(AU9&gt;WEEKNUM(TODAY())," ", IF(AND(AU10="x",SUM($AC48:AU48)&gt;$AC46),Y9-(SUM($AC48:AT48)/SUM($AC46:$BG46)),IF(SUM($AC48:AU48)&gt;=$AC46," ",Y9-(SUM($AC48:AT48)/(SUM($AC46:$BG46))))))</f>
        <v xml:space="preserve"> </v>
      </c>
      <c r="AV49" s="48" t="str">
        <f ca="1">IF(AV9&gt;WEEKNUM(TODAY())," ", IF(AND(AV10="x",SUM($AC48:AV48)&gt;$AC46),Z9-(SUM($AC48:AU48)/SUM($AC46:$BG46)),IF(SUM($AC48:AV48)&gt;=$AC46," ",Z9-(SUM($AC48:AU48)/(SUM($AC46:$BG46))))))</f>
        <v xml:space="preserve"> </v>
      </c>
      <c r="AW49" s="48" t="str">
        <f ca="1">IF(AW9&gt;WEEKNUM(TODAY())," ", IF(AND(AW10="x",SUM($AC48:AW48)&gt;$AC46),AA9-(SUM($AC48:AV48)/SUM($AC46:$BG46)),IF(SUM($AC48:AW48)&gt;=$AC46," ",AA9-(SUM($AC48:AV48)/(SUM($AC46:$BG46))))))</f>
        <v xml:space="preserve"> </v>
      </c>
      <c r="AX49" s="48" t="str">
        <f ca="1">IF(AX9&gt;WEEKNUM(TODAY())," ", IF(AND(AX10="x",SUM($AC48:AX48)&gt;$AC46),AB9-(SUM($AC48:AW48)/SUM($AC46:$BG46)),IF(SUM($AC48:AX48)&gt;=$AC46," ",AB9-(SUM($AC48:AW48)/(SUM($AC46:$BG46))))))</f>
        <v xml:space="preserve"> </v>
      </c>
      <c r="AY49" s="48" t="str">
        <f ca="1">IF(AY9&gt;WEEKNUM(TODAY())," ", IF(AND(AY10="x",SUM($AC48:AY48)&gt;$AC46),AC9-(SUM($AC48:AX48)/SUM($AC46:$BG46)),IF(SUM($AC48:AY48)&gt;=$AC46," ",AC9-(SUM($AC48:AX48)/(SUM($AC46:$BG46))))))</f>
        <v xml:space="preserve"> </v>
      </c>
      <c r="AZ49" s="48" t="str">
        <f ca="1">IF(AZ9&gt;WEEKNUM(TODAY())," ", IF(AND(AZ10="x",SUM($AC48:AZ48)&gt;$AC46),AD9-(SUM($AC48:AY48)/SUM($AC46:$BG46)),IF(SUM($AC48:AZ48)&gt;=$AC46," ",AD9-(SUM($AC48:AY48)/(SUM($AC46:$BG46))))))</f>
        <v xml:space="preserve"> </v>
      </c>
      <c r="BA49" s="48" t="str">
        <f ca="1">IF(BA9&gt;WEEKNUM(TODAY())," ", IF(AND(BA10="x",SUM($AC48:BA48)&gt;$AC46),AE9-(SUM($AC48:AZ48)/SUM($AC46:$BG46)),IF(SUM($AC48:BA48)&gt;=$AC46," ",AE9-(SUM($AC48:AZ48)/(SUM($AC46:$BG46))))))</f>
        <v xml:space="preserve"> </v>
      </c>
      <c r="BB49" s="48" t="str">
        <f ca="1">IF(BB9&gt;WEEKNUM(TODAY())," ", IF(AND(BB10="x",SUM($AC48:BB48)&gt;$AC46),AF9-(SUM($AC48:BA48)/SUM($AC46:$BG46)),IF(SUM($AC48:BB48)&gt;=$AC46," ",AF9-(SUM($AC48:BA48)/(SUM($AC46:$BG46))))))</f>
        <v xml:space="preserve"> </v>
      </c>
      <c r="BC49" s="48" t="str">
        <f ca="1">IF(BC9&gt;WEEKNUM(TODAY())," ", IF(AND(BC10="x",SUM($AC48:BC48)&gt;$AC46),AG9-(SUM($AC48:BB48)/SUM($AC46:$BG46)),IF(SUM($AC48:BC48)&gt;=$AC46," ",AG9-(SUM($AC48:BB48)/(SUM($AC46:$BG46))))))</f>
        <v xml:space="preserve"> </v>
      </c>
      <c r="BD49" s="48" t="str">
        <f ca="1">IF(BD9&gt;WEEKNUM(TODAY())," ", IF(AND(BD10="x",SUM($AC48:BD48)&gt;$AC46),AH9-(SUM($AC48:BC48)/SUM($AC46:$BG46)),IF(SUM($AC48:BD48)&gt;=$AC46," ",AH9-(SUM($AC48:BC48)/(SUM($AC46:$BG46))))))</f>
        <v xml:space="preserve"> </v>
      </c>
      <c r="BE49" s="48" t="str">
        <f ca="1">IF(BE9&gt;WEEKNUM(TODAY())," ", IF(AND(BE10="x",SUM($AC48:BE48)&gt;$AC46),AI9-(SUM($AC48:BD48)/SUM($AC46:$BG46)),IF(SUM($AC48:BE48)&gt;=$AC46," ",AI9-(SUM($AC48:BD48)/(SUM($AC46:$BG46))))))</f>
        <v xml:space="preserve"> </v>
      </c>
      <c r="BF49" s="48" t="str">
        <f ca="1">IF(BF9&gt;WEEKNUM(TODAY())," ", IF(AND(BF10="x",SUM($AC48:BF48)&gt;$AC46),AJ9-(SUM($AC48:BE48)/SUM($AC46:$BG46)),IF(SUM($AC48:BF48)&gt;=$AC46," ",AJ9-(SUM($AC48:BE48)/(SUM($AC46:$BG46))))))</f>
        <v xml:space="preserve"> </v>
      </c>
      <c r="BG49" s="48" t="str">
        <f ca="1">IF(BG9&gt;WEEKNUM(TODAY())," ", IF(AND(BG10="x",SUM($AC48:BG48)&gt;$AC46),AK9-(SUM($AC48:BF48)/SUM($AC46:$BG46)),IF(SUM($AC48:BG48)&gt;=$AC46," ",AK9-(SUM($AC48:BF48)/(SUM($AC46:$BG46))))))</f>
        <v xml:space="preserve"> </v>
      </c>
      <c r="BH49" s="21"/>
    </row>
    <row r="50" spans="2:60" ht="16.2" thickBot="1" x14ac:dyDescent="0.35">
      <c r="B50" s="70"/>
      <c r="C50" s="79"/>
      <c r="D50" s="84"/>
      <c r="E50" s="57"/>
      <c r="F50" s="117"/>
      <c r="H50" s="49" t="str">
        <f>IF(H46= " ", " ",IF(H48&gt;SUM($H46:$BG46), " N/A", IF(SUM($H48:$BG48)=SUM($H46:BG46), " ", IF(H48=SUM($H46:BG46), " ", "x"))))</f>
        <v xml:space="preserve"> </v>
      </c>
      <c r="I50" s="50" t="str">
        <f>IF(SUM($H48:I48) &gt; SUM($H46:I46),  " N/A", IF(SUM($H48:$BG48) = SUM($H46:$BH46),    " ",IF(I48 = SUM($H46:$BH46),  " ",   "x")))</f>
        <v xml:space="preserve"> </v>
      </c>
      <c r="J50" s="50" t="str">
        <f>IF(SUM($H48:J48) &gt; SUM($H46:J46),  " N/A", IF(SUM($H48:$BG48) = SUM($H46:$BH46),    " ",IF(J48 = SUM($H46:$BH46),  " ",   "x")))</f>
        <v xml:space="preserve"> </v>
      </c>
      <c r="K50" s="50" t="str">
        <f>IF(SUM($H48:K48) &gt; SUM($H46:K46),  " N/A", IF(SUM($H48:$BG48) = SUM($H46:$BH46),    " ",IF(K48 = SUM($H46:$BH46),  " ",   "x")))</f>
        <v xml:space="preserve"> </v>
      </c>
      <c r="L50" s="44" t="str">
        <f>IF(L46= " ", " ",IF(L48&gt;SUM($H46:$BG46), " N/A", IF(SUM($H48:$BG48)=SUM($H46:BJ46), " ", IF(L48=SUM($H46:BJ46), " ", "x"))))</f>
        <v xml:space="preserve"> </v>
      </c>
      <c r="M50" s="44" t="str">
        <f>IF(M46= " ", " ",IF(M48&gt;SUM($H46:$BG46), " N/A", IF(SUM($H48:$BG48)=SUM($H46:BK46), " ", IF(M48=SUM($H46:BK46), " ", "x"))))</f>
        <v xml:space="preserve"> </v>
      </c>
      <c r="N50" s="44" t="str">
        <f>IF(N46= " ", " ",IF(N48&gt;SUM($H46:$BG46), " N/A", IF(SUM($H48:$BG48)=SUM($H46:BL46), " ", IF(N48=SUM($H46:BL46), " ", "x"))))</f>
        <v xml:space="preserve"> </v>
      </c>
      <c r="O50" s="44" t="str">
        <f>IF(O46= " ", " ",IF(O48&gt;SUM($H46:$BG46), " N/A", IF(SUM($H48:$BG48)=SUM($H46:BM46), " ", IF(O48=SUM($H46:BM46), " ", "x"))))</f>
        <v xml:space="preserve"> </v>
      </c>
      <c r="P50" s="44" t="str">
        <f>IF(P46= " ", " ",IF(P48&gt;SUM($H46:$BG46), " N/A", IF(SUM($H48:$BG48)=SUM($H46:BN46), " ", IF(P48=SUM($H46:BN46), " ", "x"))))</f>
        <v xml:space="preserve"> </v>
      </c>
      <c r="Q50" s="44" t="str">
        <f>IF(Q46= " ", " ",IF(Q48&gt;SUM($H46:$BG46), " N/A", IF(SUM($H48:$BG48)=SUM($H46:BO46), " ", IF(Q48=SUM($H46:BO46), " ", "x"))))</f>
        <v xml:space="preserve"> </v>
      </c>
      <c r="R50" s="44" t="str">
        <f>IF(R46= " ", " ",IF(R48&gt;SUM($H46:$BG46), " N/A", IF(SUM($H48:$BG48)=SUM($H46:BP46), " ", IF(R48=SUM($H46:BP46), " ", "x"))))</f>
        <v xml:space="preserve"> </v>
      </c>
      <c r="S50" s="44" t="str">
        <f>IF(S46= " ", " ",IF(S48&gt;SUM($H46:$BG46), " N/A", IF(SUM($H48:$BG48)=SUM($H46:BQ46), " ", IF(S48=SUM($H46:BQ46), " ", "x"))))</f>
        <v xml:space="preserve"> </v>
      </c>
      <c r="T50" s="44" t="str">
        <f>IF(T46= " ", " ",IF(T48&gt;SUM($H46:$BG46), " N/A", IF(SUM($H48:$BG48)=SUM($H46:BR46), " ", IF(T48=SUM($H46:BR46), " ", "x"))))</f>
        <v xml:space="preserve"> </v>
      </c>
      <c r="U50" s="44" t="str">
        <f>IF(U46= " ", " ",IF(U48&gt;SUM($H46:$BG46), " N/A", IF(SUM($H48:$BG48)=SUM($H46:BS46), " ", IF(U48=SUM($H46:BS46), " ", "x"))))</f>
        <v xml:space="preserve"> </v>
      </c>
      <c r="V50" s="44" t="str">
        <f>IF(V46= " ", " ",IF(V48&gt;SUM($H46:$BG46), " N/A", IF(SUM($H48:$BG48)=SUM($H46:BT46), " ", IF(V48=SUM($H46:BT46), " ", "x"))))</f>
        <v xml:space="preserve"> </v>
      </c>
      <c r="W50" s="44" t="str">
        <f>IF(W46= " ", " ",IF(W48&gt;SUM($H46:$BG46), " N/A", IF(SUM($H48:$BG48)=SUM($H46:BU46), " ", IF(W48=SUM($H46:BU46), " ", "x"))))</f>
        <v xml:space="preserve"> </v>
      </c>
      <c r="X50" s="44" t="str">
        <f>IF(X46= " ", " ",IF(X48&gt;SUM($H46:$BG46), " N/A", IF(SUM($H48:$BG48)=SUM($H46:BV46), " ", IF(X48=SUM($H46:BV46), " ", "x"))))</f>
        <v xml:space="preserve"> </v>
      </c>
      <c r="Y50" s="44" t="str">
        <f>IF(Y46= " ", " ",IF(Y48&gt;SUM($H46:$BG46), " N/A", IF(SUM($H48:$BG48)=SUM($H46:BW46), " ", IF(Y48=SUM($H46:BW46), " ", "x"))))</f>
        <v xml:space="preserve"> </v>
      </c>
      <c r="Z50" s="44" t="str">
        <f>IF(Z46= " ", " ",IF(Z48&gt;SUM($H46:$BG46), " N/A", IF(SUM($H48:$BG48)=SUM($H46:BX46), " ", IF(Z48=SUM($H46:BX46), " ", "x"))))</f>
        <v xml:space="preserve"> </v>
      </c>
      <c r="AA50" s="44" t="str">
        <f>IF(AA46= " ", " ",IF(AA48&gt;SUM($H46:$BG46), " N/A", IF(SUM($H48:$BG48)=SUM($H46:BY46), " ", IF(AA48=SUM($H46:BY46), " ", "x"))))</f>
        <v xml:space="preserve"> </v>
      </c>
      <c r="AB50" s="44" t="str">
        <f>IF(AB46= " ", " ",IF(AB48&gt;SUM($H46:$BG46), " N/A", IF(SUM($H48:$BG48)=SUM($H46:BZ46), " ", IF(AB48=SUM($H46:BZ46), " ", "x"))))</f>
        <v xml:space="preserve"> </v>
      </c>
      <c r="AC50" s="44" t="str">
        <f>IF(AC46= " ", " ",IF(AC48&gt;SUM($H46:$BG46), " N/A", IF(SUM($H48:$BG48)=SUM($H46:CA46), " ", IF(AC48=SUM($H46:CA46), " ", "x"))))</f>
        <v xml:space="preserve"> </v>
      </c>
      <c r="AD50" s="44" t="str">
        <f>IF(SUM($H48:AD48) &gt; SUM($H46:AD46),  " N/A", IF(SUM($H48:$BG48) = SUM($H41:$BH41),    " ",IF(AD48 = SUM($H41:$BH41),  " ",   "x")))</f>
        <v xml:space="preserve"> </v>
      </c>
      <c r="AE50" s="44" t="str">
        <f>IF(AE46= " ", " ",IF(AE48&gt;SUM($H46:$BG46), " N/A", IF(SUM($H48:$BG48)=SUM($H46:CC46), " ", IF(AE48=SUM($H46:CC46), " ", "x"))))</f>
        <v xml:space="preserve"> </v>
      </c>
      <c r="AF50" s="44" t="str">
        <f>IF(AF46= " ", " ",IF(AF48&gt;SUM($H46:$BG46), " N/A", IF(SUM($H48:$BG48)=SUM($H46:CD46), " ", IF(AF48=SUM($H46:CD46), " ", "x"))))</f>
        <v xml:space="preserve"> </v>
      </c>
      <c r="AG50" s="44" t="str">
        <f>IF(AG46= " ", " ",IF(AG48&gt;SUM($H46:$BG46), " N/A", IF(SUM($H48:$BG48)=SUM($H46:CE46), " ", IF(AG48=SUM($H46:CE46), " ", "x"))))</f>
        <v xml:space="preserve"> </v>
      </c>
      <c r="AH50" s="44" t="str">
        <f>IF(AH46= " ", " ",IF(AH48&gt;SUM($H46:$BG46), " N/A", IF(SUM($H48:$BG48)=SUM($H46:CF46), " ", IF(AH48=SUM($H46:CF46), " ", "x"))))</f>
        <v xml:space="preserve"> </v>
      </c>
      <c r="AI50" s="44" t="str">
        <f>IF(AI46= " ", " ",IF(AI48&gt;SUM($H46:$BG46), " N/A", IF(SUM($H48:$BG48)=SUM($H46:CG46), " ", IF(AI48=SUM($H46:CG46), " ", "x"))))</f>
        <v xml:space="preserve"> </v>
      </c>
      <c r="AJ50" s="44" t="str">
        <f>IF(AJ46= " ", " ",IF(AJ48&gt;SUM($H46:$BG46), " N/A", IF(SUM($H48:$BG48)=SUM($H46:CH46), " ", IF(AJ48=SUM($H46:CH46), " ", "x"))))</f>
        <v xml:space="preserve"> </v>
      </c>
      <c r="AK50" s="44" t="str">
        <f>IF(AK46= " ", " ",IF(AK48&gt;SUM($H46:$BG46), " N/A", IF(SUM($H48:$BG48)=SUM($H46:CI46), " ", IF(AK48=SUM($H46:CI46), " ", "x"))))</f>
        <v xml:space="preserve"> </v>
      </c>
      <c r="AL50" s="44" t="str">
        <f>IF(AL46= " ", " ",IF(AL48&gt;SUM($H46:$BG46), " N/A", IF(SUM($H48:$BG48)=SUM($H46:CJ46), " ", IF(AL48=SUM($H46:CJ46), " ", "x"))))</f>
        <v xml:space="preserve"> </v>
      </c>
      <c r="AM50" s="44" t="str">
        <f>IF(AM46= " ", " ",IF(AM48&gt;SUM($H46:$BG46), " N/A", IF(SUM($H48:$BG48)=SUM($H46:CK46), " ", IF(AM48=SUM($H46:CK46), " ", "x"))))</f>
        <v xml:space="preserve"> </v>
      </c>
      <c r="AN50" s="44" t="str">
        <f>IF(AN46= " ", " ",IF(AN48&gt;SUM($H46:$BG46), " N/A", IF(SUM($H48:$BG48)=SUM($H46:CL46), " ", IF(AN48=SUM($H46:CL46), " ", "x"))))</f>
        <v xml:space="preserve"> </v>
      </c>
      <c r="AO50" s="44" t="str">
        <f>IF(AO46= " ", " ",IF(AO48&gt;SUM($H46:$BG46), " N/A", IF(SUM($H48:$BG48)=SUM($H46:CM46), " ", IF(AO48=SUM($H46:CM46), " ", "x"))))</f>
        <v xml:space="preserve"> </v>
      </c>
      <c r="AP50" s="44" t="str">
        <f>IF(AP46= " ", " ",IF(AP48&gt;SUM($H46:$BG46), " N/A", IF(SUM($H48:$BG48)=SUM($H46:CN46), " ", IF(AP48=SUM($H46:CN46), " ", "x"))))</f>
        <v xml:space="preserve"> </v>
      </c>
      <c r="AQ50" s="44" t="str">
        <f>IF(AQ46= " ", " ",IF(AQ48&gt;SUM($H46:$BG46), " N/A", IF(SUM($H48:$BG48)=SUM($H46:CO46), " ", IF(AQ48=SUM($H46:CO46), " ", "x"))))</f>
        <v xml:space="preserve"> </v>
      </c>
      <c r="AR50" s="44" t="str">
        <f>IF(AR46= " ", " ",IF(AR48&gt;SUM($H46:$BG46), " N/A", IF(SUM($H48:$BG48)=SUM($H46:CP46), " ", IF(AR48=SUM($H46:CP46), " ", "x"))))</f>
        <v xml:space="preserve"> </v>
      </c>
      <c r="AS50" s="44" t="str">
        <f>IF(AS46= " ", " ",IF(AS48&gt;SUM($H46:$BG46), " N/A", IF(SUM($H48:$BG48)=SUM($H46:CQ46), " ", IF(AS48=SUM($H46:CQ46), " ", "x"))))</f>
        <v xml:space="preserve"> </v>
      </c>
      <c r="AT50" s="44" t="str">
        <f>IF(AT46= " ", " ",IF(AT48&gt;SUM($H46:$BG46), " N/A", IF(SUM($H48:$BG48)=SUM($H46:CR46), " ", IF(AT48=SUM($H46:CR46), " ", "x"))))</f>
        <v xml:space="preserve"> </v>
      </c>
      <c r="AU50" s="44" t="str">
        <f>IF(AU46= " ", " ",IF(AU48&gt;SUM($H46:$BG46), " N/A", IF(SUM($H48:$BG48)=SUM($H46:CS46), " ", IF(AU48=SUM($H46:CS46), " ", "x"))))</f>
        <v xml:space="preserve"> </v>
      </c>
      <c r="AV50" s="44" t="str">
        <f>IF(AV46= " ", " ",IF(AV48&gt;SUM($H46:$BG46), " N/A", IF(SUM($H48:$BG48)=SUM($H46:CT46), " ", IF(AV48=SUM($H46:CT46), " ", "x"))))</f>
        <v xml:space="preserve"> </v>
      </c>
      <c r="AW50" s="44" t="str">
        <f>IF(AW46= " ", " ",IF(AW48&gt;SUM($H46:$BG46), " N/A", IF(SUM($H48:$BG48)=SUM($H46:CU46), " ", IF(AW48=SUM($H46:CU46), " ", "x"))))</f>
        <v xml:space="preserve"> </v>
      </c>
      <c r="AX50" s="44" t="str">
        <f>IF(AX46= " ", " ",IF(AX48&gt;SUM($H46:$BG46), " N/A", IF(SUM($H48:$BG48)=SUM($H46:CV46), " ", IF(AX48=SUM($H46:CV46), " ", "x"))))</f>
        <v xml:space="preserve"> </v>
      </c>
      <c r="AY50" s="44" t="str">
        <f>IF(AY46= " ", " ",IF(AY48&gt;SUM($H46:$BG46), " N/A", IF(SUM($H48:$BG48)=SUM($H46:CW46), " ", IF(AY48=SUM($H46:CW46), " ", "x"))))</f>
        <v xml:space="preserve"> </v>
      </c>
      <c r="AZ50" s="44" t="str">
        <f>IF(AZ46= " ", " ",IF(AZ48&gt;SUM($H46:$BG46), " N/A", IF(SUM($H48:$BG48)=SUM($H46:CX46), " ", IF(AZ48=SUM($H46:CX46), " ", "x"))))</f>
        <v xml:space="preserve"> </v>
      </c>
      <c r="BA50" s="44" t="str">
        <f>IF(BA46= " ", " ",IF(BA48&gt;SUM($H46:$BG46), " N/A", IF(SUM($H48:$BG48)=SUM($H46:CY46), " ", IF(BA48=SUM($H46:CY46), " ", "x"))))</f>
        <v xml:space="preserve"> </v>
      </c>
      <c r="BB50" s="44" t="str">
        <f>IF(BB46= " ", " ",IF(BB48&gt;SUM($H46:$BG46), " N/A", IF(SUM($H48:$BG48)=SUM($H46:CZ46), " ", IF(BB48=SUM($H46:CZ46), " ", "x"))))</f>
        <v xml:space="preserve"> </v>
      </c>
      <c r="BC50" s="44" t="str">
        <f>IF(BC46= " ", " ",IF(BC48&gt;SUM($H46:$BG46), " N/A", IF(SUM($H48:$BG48)=SUM($H46:DA46), " ", IF(BC48=SUM($H46:DA46), " ", "x"))))</f>
        <v xml:space="preserve"> </v>
      </c>
      <c r="BD50" s="44" t="str">
        <f>IF(BD46= " ", " ",IF(BD48&gt;SUM($H46:$BG46), " N/A", IF(SUM($H48:$BG48)=SUM($H46:DB46), " ", IF(BD48=SUM($H46:DB46), " ", "x"))))</f>
        <v xml:space="preserve"> </v>
      </c>
      <c r="BE50" s="44" t="str">
        <f>IF(BE46= " ", " ",IF(BE48&gt;SUM($H46:$BG46), " N/A", IF(SUM($H48:$BG48)=SUM($H46:DC46), " ", IF(BE48=SUM($H46:DC46), " ", "x"))))</f>
        <v xml:space="preserve"> </v>
      </c>
      <c r="BF50" s="44" t="str">
        <f>IF(BF46= " ", " ",IF(BF48&gt;SUM($H46:$BG46), " N/A", IF(SUM($H48:$BG48)=SUM($H46:DD46), " ", IF(BF48=SUM($H46:DD46), " ", "x"))))</f>
        <v xml:space="preserve"> </v>
      </c>
      <c r="BG50" s="44" t="str">
        <f>IF(BG46= " ", " ",IF(BG48&gt;SUM($H46:$BG46), " N/A", IF(SUM($H48:$BG48)=SUM($H46:DE46), " ", IF(BG48=SUM($H46:DE46), " ", "x"))))</f>
        <v xml:space="preserve"> </v>
      </c>
      <c r="BH50" s="21"/>
    </row>
    <row r="51" spans="2:60" ht="15.6" x14ac:dyDescent="0.3">
      <c r="B51" s="71"/>
      <c r="C51" s="77"/>
      <c r="D51" s="82" t="s">
        <v>249</v>
      </c>
      <c r="E51" s="54">
        <f>SUM(H51:BG51)</f>
        <v>0</v>
      </c>
      <c r="F51" s="115">
        <f>Gant_24!$E51-E53</f>
        <v>0</v>
      </c>
      <c r="H51" s="41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>
        <v>0</v>
      </c>
      <c r="AD51" s="51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42"/>
      <c r="BB51" s="42"/>
      <c r="BC51" s="42"/>
      <c r="BD51" s="42"/>
      <c r="BE51" s="42"/>
      <c r="BF51" s="42"/>
      <c r="BG51" s="42"/>
      <c r="BH51" s="21"/>
    </row>
    <row r="52" spans="2:60" ht="15.6" x14ac:dyDescent="0.3">
      <c r="B52" s="68"/>
      <c r="C52" s="78"/>
      <c r="D52" s="83" t="s">
        <v>261</v>
      </c>
      <c r="E52" s="55">
        <f>SUM(H52:BG52)</f>
        <v>0</v>
      </c>
      <c r="F52" s="116"/>
      <c r="H52" s="43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50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21"/>
    </row>
    <row r="53" spans="2:60" ht="15.6" x14ac:dyDescent="0.3">
      <c r="B53" s="68" t="s">
        <v>65</v>
      </c>
      <c r="C53" s="78" t="s">
        <v>66</v>
      </c>
      <c r="D53" s="83" t="s">
        <v>241</v>
      </c>
      <c r="E53" s="55">
        <f>SUM(H53:BG53)</f>
        <v>0</v>
      </c>
      <c r="F53" s="116"/>
      <c r="H53" s="45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  <c r="AS53" s="46"/>
      <c r="AT53" s="46"/>
      <c r="AU53" s="46"/>
      <c r="AV53" s="46"/>
      <c r="AW53" s="46"/>
      <c r="AX53" s="46"/>
      <c r="AY53" s="46"/>
      <c r="AZ53" s="46"/>
      <c r="BA53" s="46"/>
      <c r="BB53" s="46"/>
      <c r="BC53" s="46"/>
      <c r="BD53" s="46"/>
      <c r="BE53" s="46"/>
      <c r="BF53" s="46"/>
      <c r="BG53" s="46"/>
      <c r="BH53" s="21"/>
    </row>
    <row r="54" spans="2:60" ht="15.6" x14ac:dyDescent="0.3">
      <c r="B54" s="68"/>
      <c r="C54" s="78"/>
      <c r="D54" s="83" t="s">
        <v>278</v>
      </c>
      <c r="E54" s="56">
        <f>MAX(H54:BG54)</f>
        <v>0</v>
      </c>
      <c r="F54" s="116"/>
      <c r="H54" s="47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 t="str">
        <f>IF(SUM(H51:BG51) = AC53, " 0 ", " ")</f>
        <v xml:space="preserve"> 0 </v>
      </c>
      <c r="AD54" s="48"/>
      <c r="AE54" s="48" t="str">
        <f>IF(AE53=0," ",IF(SUM($AC53:AE53)&gt;SUM($AC51:$BG51)," ",(3-(SUM($AC53:AD53)/(SUM($AC51:$BG51))))))</f>
        <v xml:space="preserve"> </v>
      </c>
      <c r="AF54" s="48" t="str">
        <f>IF(AF53=0," ",IF(SUM($AC53:AF53)&gt;SUM($AC51:$BG51)," ",(3-(SUM($AC53:AE53)/(SUM($AC51:$BG51))))))</f>
        <v xml:space="preserve"> </v>
      </c>
      <c r="AG54" s="48" t="str">
        <f>IF(AG53=0," ",IF(SUM($AC53:AG53)&gt;SUM($AC51:$BG51)," ",(4-(SUM($AC53:AF53)/(SUM($AC51:$BG51))))))</f>
        <v xml:space="preserve"> </v>
      </c>
      <c r="AH54" s="48" t="str">
        <f>IF(AH53=0," ",IF(SUM($AC53:AH53)&gt;SUM($AC51:$BG51)," ",(5-(SUM($AC53:AG53)/(SUM($AC51:$BG51))))))</f>
        <v xml:space="preserve"> </v>
      </c>
      <c r="AI54" s="48" t="str">
        <f>IF(AI53=0," ",IF(SUM($AC53:AI53)&gt;SUM($AC51:$BG51)," ",(6-(SUM($AC53:AH53)/(SUM($AC51:$BG51))))))</f>
        <v xml:space="preserve"> </v>
      </c>
      <c r="AJ54" s="48" t="str">
        <f>IF(AJ53=0," ",IF(SUM($AC53:AJ53)&gt;SUM($AC51:$BG51)," ",(7-(SUM($AC53:AI53)/(SUM($AC51:$BG51))))))</f>
        <v xml:space="preserve"> </v>
      </c>
      <c r="AK54" s="48" t="str">
        <f>IF(AK53=0," ",IF(SUM($AC53:AK53)&gt;SUM($AC51:$BG51)," ",(8-(SUM($AC53:AJ53)/(SUM($AC51:$BG51))))))</f>
        <v xml:space="preserve"> </v>
      </c>
      <c r="AL54" s="48" t="str">
        <f>IF(AL53=0," ",IF(SUM($AC53:AL53)&gt;SUM($AC51:$BG51)," ",(9-(SUM($AC53:AK53)/(SUM($AC51:$BG51))))))</f>
        <v xml:space="preserve"> </v>
      </c>
      <c r="AM54" s="48" t="str">
        <f>IF(AM53=0," ",IF(SUM($AC53:AM53)&gt;SUM($AC51:$BG51)," ",(10-(SUM($AC53:AL53)/(SUM($AC51:$BG51))))))</f>
        <v xml:space="preserve"> </v>
      </c>
      <c r="AN54" s="48" t="str">
        <f>IF(AN53=0," ",IF(SUM($AC53:AN53)&gt;SUM($AC51:$BG51)," ",(11-(SUM($AC53:AM53)/(SUM($AC51:$BG51))))))</f>
        <v xml:space="preserve"> </v>
      </c>
      <c r="AO54" s="48" t="str">
        <f>IF(AO53=0," ",IF(SUM($AC53:AO53)&gt;SUM($AC51:$BG51)," ",(12-(SUM($AC53:AN53)/(SUM($AC51:$BG51))))))</f>
        <v xml:space="preserve"> </v>
      </c>
      <c r="AP54" s="48" t="str">
        <f>IF(AP53=0," ",IF(SUM($AC53:AP53)&gt;SUM($AC51:$BG51)," ",(13-(SUM($AC53:AO53)/(SUM($AC51:$BG51))))))</f>
        <v xml:space="preserve"> </v>
      </c>
      <c r="AQ54" s="48" t="str">
        <f>IF(AQ53=0," ",IF(SUM($AC53:AQ53)&gt;SUM($AC51:$BG51)," ",(14-(SUM($AC53:AP53)/(SUM($AC51:$BG51))))))</f>
        <v xml:space="preserve"> </v>
      </c>
      <c r="AR54" s="48" t="str">
        <f>IF(AR53=0," ",IF(SUM($AC53:AR53)&gt;SUM($AC51:$BG51)," ",(15-(SUM($AC53:AQ53)/(SUM($AC51:$BG51))))))</f>
        <v xml:space="preserve"> </v>
      </c>
      <c r="AS54" s="48" t="str">
        <f>IF(AS53=0," ",IF(SUM($AC53:AS53)&gt;SUM($AC51:$BG51)," ",(16-(SUM($AC53:AR53)/(SUM($AC51:$BG51))))))</f>
        <v xml:space="preserve"> </v>
      </c>
      <c r="AT54" s="48" t="str">
        <f>IF(AT53=0," ",IF(SUM($AC53:AT53)&gt;SUM($AC51:$BG51)," ",(17-(SUM($AC53:AS53)/(SUM($AC51:$BG51))))))</f>
        <v xml:space="preserve"> </v>
      </c>
      <c r="AU54" s="48" t="str">
        <f>IF(AU53=0," ",IF(SUM($AC53:AU53)&gt;SUM($AC51:$BG51)," ",(18-(SUM($AC53:AT53)/(SUM($AC51:$BG51))))))</f>
        <v xml:space="preserve"> </v>
      </c>
      <c r="AV54" s="48" t="str">
        <f>IF(AV53=0," ",IF(SUM($AC53:AV53)&gt;SUM($AC51:$BG51)," ",(19-(SUM($AC53:AU53)/(SUM($AC51:$BG51))))))</f>
        <v xml:space="preserve"> </v>
      </c>
      <c r="AW54" s="48" t="str">
        <f>IF(AW53=0," ",IF(SUM($AC53:AW53)&gt;SUM($AC51:$BG51)," ",(20-(SUM($AC53:AV53)/(SUM($AC51:$BG51))))))</f>
        <v xml:space="preserve"> </v>
      </c>
      <c r="AX54" s="48" t="str">
        <f>IF(AX53=0," ",IF(SUM($AC53:AX53)&gt;SUM($AC51:$BG51)," ",(21-(SUM($AC53:AW53)/(SUM($AC51:$BG51))))))</f>
        <v xml:space="preserve"> </v>
      </c>
      <c r="AY54" s="48" t="str">
        <f>IF(AY53=0," ",IF(SUM($AC53:AY53)&gt;SUM($AC51:$BG51)," ",(22-(SUM($AC53:AX53)/(SUM($AC51:$BG51))))))</f>
        <v xml:space="preserve"> </v>
      </c>
      <c r="AZ54" s="48" t="str">
        <f>IF(AZ53=0," ",IF(SUM($AC53:AZ53)&gt;SUM($AC51:$BG51)," ",(23-(SUM($AC53:AY53)/(SUM($AC51:$BG51))))))</f>
        <v xml:space="preserve"> </v>
      </c>
      <c r="BA54" s="48" t="str">
        <f>IF(BA53=0," ",IF(SUM($AC53:BA53)&gt;SUM($AC51:$BG51)," ",(24-(SUM($AC53:AZ53)/(SUM($AC51:$BG51))))))</f>
        <v xml:space="preserve"> </v>
      </c>
      <c r="BB54" s="48" t="str">
        <f>IF(BB53=0," ",IF(SUM($AC53:BB53)&gt;SUM($AC51:$BG51)," ",(25-(SUM($AC53:BA53)/(SUM($AC51:$BG51))))))</f>
        <v xml:space="preserve"> </v>
      </c>
      <c r="BC54" s="48" t="str">
        <f>IF(BC53=0," ",IF(SUM($AC53:BC53)&gt;SUM($AC51:$BG51)," ",(26-(SUM($AC53:BB53)/(SUM($AC51:$BG51))))))</f>
        <v xml:space="preserve"> </v>
      </c>
      <c r="BD54" s="48" t="str">
        <f>IF(BD53=0," ",IF(SUM($AC53:BD53)&gt;SUM($AC51:$BG51)," ",(27-(SUM($AC53:BC53)/(SUM($AC51:$BG51))))))</f>
        <v xml:space="preserve"> </v>
      </c>
      <c r="BE54" s="48" t="str">
        <f>IF(BE53=0," ",IF(SUM($AC53:BE53)&gt;SUM($AC51:$BG51)," ",(28-(SUM($AC53:BD53)/(SUM($AC51:$BG51))))))</f>
        <v xml:space="preserve"> </v>
      </c>
      <c r="BF54" s="48" t="str">
        <f>IF(BF53=0," ",IF(SUM($AC53:BF53)&gt;SUM($AC51:$BG51)," ",(29-(SUM($AC53:BE53)/(SUM($AC51:$BG51))))))</f>
        <v xml:space="preserve"> </v>
      </c>
      <c r="BG54" s="48" t="str">
        <f>IF(BG53=0," ",IF(SUM($AC53:BG53)&gt;SUM($AC51:$BG51)," ",(30-(SUM($AC53:BF53)/(SUM($AC51:$BG51))))))</f>
        <v xml:space="preserve"> </v>
      </c>
      <c r="BH54" s="21"/>
    </row>
    <row r="55" spans="2:60" ht="16.2" thickBot="1" x14ac:dyDescent="0.35">
      <c r="B55" s="70"/>
      <c r="C55" s="79"/>
      <c r="D55" s="84"/>
      <c r="E55" s="57"/>
      <c r="F55" s="117"/>
      <c r="H55" s="49" t="str">
        <f>IF(H51= " ", " ",IF(H53&gt;SUM($H51:$BG51), " N/A", IF(SUM($H53:$BG53)=SUM($H51:BG51), " ", IF(H53=SUM($H51:BG51), " ", "x"))))</f>
        <v xml:space="preserve"> </v>
      </c>
      <c r="I55" s="50" t="str">
        <f>IF(SUM($H53:I53) &gt; SUM($H51:I51),  " N/A", IF(SUM($H53:$BG53) = SUM($H51:$BH51),    " ",IF(I53 = SUM($H51:$BH51),  " ",   "x")))</f>
        <v xml:space="preserve"> </v>
      </c>
      <c r="J55" s="50" t="str">
        <f>IF(SUM($H53:J53) &gt; SUM($H51:J51),  " N/A", IF(SUM($H53:$BG53) = SUM($H51:$BH51),    " ",IF(J53 = SUM($H51:$BH51),  " ",   "x")))</f>
        <v xml:space="preserve"> </v>
      </c>
      <c r="K55" s="50" t="str">
        <f>IF(SUM($H53:K53) &gt; SUM($H51:K51),  " N/A", IF(SUM($H53:$BG53) = SUM($H51:$BH51),    " ",IF(K53 = SUM($H51:$BH51),  " ",   "x")))</f>
        <v xml:space="preserve"> </v>
      </c>
      <c r="L55" s="50" t="str">
        <f>IF(L51= " ", " ",IF(L53&gt;SUM($H51:$BG51), " N/A", IF(SUM($H53:$BG53)=SUM($H51:BJ51), " ", IF(L53=SUM($H51:BJ51), " ", "x"))))</f>
        <v xml:space="preserve"> </v>
      </c>
      <c r="M55" s="50" t="str">
        <f>IF(M51= " ", " ",IF(M53&gt;SUM($H51:$BG51), " N/A", IF(SUM($H53:$BG53)=SUM($H51:BK51), " ", IF(M53=SUM($H51:BK51), " ", "x"))))</f>
        <v xml:space="preserve"> </v>
      </c>
      <c r="N55" s="50" t="str">
        <f>IF(N51= " ", " ",IF(N53&gt;SUM($H51:$BG51), " N/A", IF(SUM($H53:$BG53)=SUM($H51:BL51), " ", IF(N53=SUM($H51:BL51), " ", "x"))))</f>
        <v xml:space="preserve"> </v>
      </c>
      <c r="O55" s="50" t="str">
        <f>IF(O51= " ", " ",IF(O53&gt;SUM($H51:$BG51), " N/A", IF(SUM($H53:$BG53)=SUM($H51:BM51), " ", IF(O53=SUM($H51:BM51), " ", "x"))))</f>
        <v xml:space="preserve"> </v>
      </c>
      <c r="P55" s="50" t="str">
        <f>IF(P51= " ", " ",IF(P53&gt;SUM($H51:$BG51), " N/A", IF(SUM($H53:$BG53)=SUM($H51:BN51), " ", IF(P53=SUM($H51:BN51), " ", "x"))))</f>
        <v xml:space="preserve"> </v>
      </c>
      <c r="Q55" s="50" t="str">
        <f>IF(Q51= " ", " ",IF(Q53&gt;SUM($H51:$BG51), " N/A", IF(SUM($H53:$BG53)=SUM($H51:BO51), " ", IF(Q53=SUM($H51:BO51), " ", "x"))))</f>
        <v xml:space="preserve"> </v>
      </c>
      <c r="R55" s="50" t="str">
        <f>IF(R51= " ", " ",IF(R53&gt;SUM($H51:$BG51), " N/A", IF(SUM($H53:$BG53)=SUM($H51:BP51), " ", IF(R53=SUM($H51:BP51), " ", "x"))))</f>
        <v xml:space="preserve"> </v>
      </c>
      <c r="S55" s="50" t="str">
        <f>IF(S51= " ", " ",IF(S53&gt;SUM($H51:$BG51), " N/A", IF(SUM($H53:$BG53)=SUM($H51:BQ51), " ", IF(S53=SUM($H51:BQ51), " ", "x"))))</f>
        <v xml:space="preserve"> </v>
      </c>
      <c r="T55" s="50" t="str">
        <f>IF(T51= " ", " ",IF(T53&gt;SUM($H51:$BG51), " N/A", IF(SUM($H53:$BG53)=SUM($H51:BR51), " ", IF(T53=SUM($H51:BR51), " ", "x"))))</f>
        <v xml:space="preserve"> </v>
      </c>
      <c r="U55" s="50" t="str">
        <f>IF(U51= " ", " ",IF(U53&gt;SUM($H51:$BG51), " N/A", IF(SUM($H53:$BG53)=SUM($H51:BS51), " ", IF(U53=SUM($H51:BS51), " ", "x"))))</f>
        <v xml:space="preserve"> </v>
      </c>
      <c r="V55" s="50" t="str">
        <f>IF(V51= " ", " ",IF(V53&gt;SUM($H51:$BG51), " N/A", IF(SUM($H53:$BG53)=SUM($H51:BT51), " ", IF(V53=SUM($H51:BT51), " ", "x"))))</f>
        <v xml:space="preserve"> </v>
      </c>
      <c r="W55" s="50" t="str">
        <f>IF(W51= " ", " ",IF(W53&gt;SUM($H51:$BG51), " N/A", IF(SUM($H53:$BG53)=SUM($H51:BU51), " ", IF(W53=SUM($H51:BU51), " ", "x"))))</f>
        <v xml:space="preserve"> </v>
      </c>
      <c r="X55" s="50" t="str">
        <f>IF(X51= " ", " ",IF(X53&gt;SUM($H51:$BG51), " N/A", IF(SUM($H53:$BG53)=SUM($H51:BV51), " ", IF(X53=SUM($H51:BV51), " ", "x"))))</f>
        <v xml:space="preserve"> </v>
      </c>
      <c r="Y55" s="50" t="str">
        <f>IF(Y51= " ", " ",IF(Y53&gt;SUM($H51:$BG51), " N/A", IF(SUM($H53:$BG53)=SUM($H51:BW51), " ", IF(Y53=SUM($H51:BW51), " ", "x"))))</f>
        <v xml:space="preserve"> </v>
      </c>
      <c r="Z55" s="50" t="str">
        <f>IF(Z51= " ", " ",IF(Z53&gt;SUM($H51:$BG51), " N/A", IF(SUM($H53:$BG53)=SUM($H51:BX51), " ", IF(Z53=SUM($H51:BX51), " ", "x"))))</f>
        <v xml:space="preserve"> </v>
      </c>
      <c r="AA55" s="50" t="str">
        <f>IF(AA51= " ", " ",IF(AA53&gt;SUM($H51:$BG51), " N/A", IF(SUM($H53:$BG53)=SUM($H51:BY51), " ", IF(AA53=SUM($H51:BY51), " ", "x"))))</f>
        <v xml:space="preserve"> </v>
      </c>
      <c r="AB55" s="50" t="str">
        <f>IF(AB51= " ", " ",IF(AB53&gt;SUM($H51:$BG51), " N/A", IF(SUM($H53:$BG53)=SUM($H51:BZ51), " ", IF(AB53=SUM($H51:BZ51), " ", "x"))))</f>
        <v xml:space="preserve"> </v>
      </c>
      <c r="AC55" s="50" t="str">
        <f>IF(AC51= " ", " ",IF(AC53&gt;SUM($H51:$BG51), " N/A", IF(SUM($H53:$BG53)=SUM($H51:CA51), " ", IF(AC53=SUM($H51:CA51), " ", "x"))))</f>
        <v xml:space="preserve"> </v>
      </c>
      <c r="AD55"/>
      <c r="AE55" s="50" t="str">
        <f>IF(AE51= " ", " ",IF(AE53&gt;SUM($H51:$BG51), " N/A", IF(SUM($H53:$BG53)=SUM($H51:CC51), " ", IF(AE53=SUM($H51:CC51), " ", "x"))))</f>
        <v xml:space="preserve"> </v>
      </c>
      <c r="AF55" s="50" t="str">
        <f>IF(AF51= " ", " ",IF(AF53&gt;SUM($H51:$BG51), " N/A", IF(SUM($H53:$BG53)=SUM($H51:CD51), " ", IF(AF53=SUM($H51:CD51), " ", "x"))))</f>
        <v xml:space="preserve"> </v>
      </c>
      <c r="AG55" s="50" t="str">
        <f>IF(AG51= " ", " ",IF(AG53&gt;SUM($H51:$BG51), " N/A", IF(SUM($H53:$BG53)=SUM($H51:CE51), " ", IF(AG53=SUM($H51:CE51), " ", "x"))))</f>
        <v xml:space="preserve"> </v>
      </c>
      <c r="AH55" s="50" t="str">
        <f>IF(AH51= " ", " ",IF(AH53&gt;SUM($H51:$BG51), " N/A", IF(SUM($H53:$BG53)=SUM($H51:CF51), " ", IF(AH53=SUM($H51:CF51), " ", "x"))))</f>
        <v xml:space="preserve"> </v>
      </c>
      <c r="AI55" s="50" t="str">
        <f>IF(AI51= " ", " ",IF(AI53&gt;SUM($H51:$BG51), " N/A", IF(SUM($H53:$BG53)=SUM($H51:CG51), " ", IF(AI53=SUM($H51:CG51), " ", "x"))))</f>
        <v xml:space="preserve"> </v>
      </c>
      <c r="AJ55" s="50" t="str">
        <f>IF(AJ51= " ", " ",IF(AJ53&gt;SUM($H51:$BG51), " N/A", IF(SUM($H53:$BG53)=SUM($H51:CH51), " ", IF(AJ53=SUM($H51:CH51), " ", "x"))))</f>
        <v xml:space="preserve"> </v>
      </c>
      <c r="AK55" s="50" t="str">
        <f>IF(AK51= " ", " ",IF(AK53&gt;SUM($H51:$BG51), " N/A", IF(SUM($H53:$BG53)=SUM($H51:CI51), " ", IF(AK53=SUM($H51:CI51), " ", "x"))))</f>
        <v xml:space="preserve"> </v>
      </c>
      <c r="AL55" s="50" t="str">
        <f>IF(AL51= " ", " ",IF(AL53&gt;SUM($H51:$BG51), " N/A", IF(SUM($H53:$BG53)=SUM($H51:CJ51), " ", IF(AL53=SUM($H51:CJ51), " ", "x"))))</f>
        <v xml:space="preserve"> </v>
      </c>
      <c r="AM55" s="50" t="str">
        <f>IF(AM51= " ", " ",IF(AM53&gt;SUM($H51:$BG51), " N/A", IF(SUM($H53:$BG53)=SUM($H51:CK51), " ", IF(AM53=SUM($H51:CK51), " ", "x"))))</f>
        <v xml:space="preserve"> </v>
      </c>
      <c r="AN55" s="50" t="str">
        <f>IF(AN51= " ", " ",IF(AN53&gt;SUM($H51:$BG51), " N/A", IF(SUM($H53:$BG53)=SUM($H51:CL51), " ", IF(AN53=SUM($H51:CL51), " ", "x"))))</f>
        <v xml:space="preserve"> </v>
      </c>
      <c r="AO55" s="50" t="str">
        <f>IF(AO51= " ", " ",IF(AO53&gt;SUM($H51:$BG51), " N/A", IF(SUM($H53:$BG53)=SUM($H51:CM51), " ", IF(AO53=SUM($H51:CM51), " ", "x"))))</f>
        <v xml:space="preserve"> </v>
      </c>
      <c r="AP55" s="50" t="str">
        <f>IF(AP51= " ", " ",IF(AP53&gt;SUM($H51:$BG51), " N/A", IF(SUM($H53:$BG53)=SUM($H51:CN51), " ", IF(AP53=SUM($H51:CN51), " ", "x"))))</f>
        <v xml:space="preserve"> </v>
      </c>
      <c r="AQ55" s="50" t="str">
        <f>IF(AQ51= " ", " ",IF(AQ53&gt;SUM($H51:$BG51), " N/A", IF(SUM($H53:$BG53)=SUM($H51:CO51), " ", IF(AQ53=SUM($H51:CO51), " ", "x"))))</f>
        <v xml:space="preserve"> </v>
      </c>
      <c r="AR55" s="50" t="str">
        <f>IF(AR51= " ", " ",IF(AR53&gt;SUM($H51:$BG51), " N/A", IF(SUM($H53:$BG53)=SUM($H51:CP51), " ", IF(AR53=SUM($H51:CP51), " ", "x"))))</f>
        <v xml:space="preserve"> </v>
      </c>
      <c r="AS55" s="50" t="str">
        <f>IF(AS51= " ", " ",IF(AS53&gt;SUM($H51:$BG51), " N/A", IF(SUM($H53:$BG53)=SUM($H51:CQ51), " ", IF(AS53=SUM($H51:CQ51), " ", "x"))))</f>
        <v xml:space="preserve"> </v>
      </c>
      <c r="AT55" s="50" t="str">
        <f>IF(AT51= " ", " ",IF(AT53&gt;SUM($H51:$BG51), " N/A", IF(SUM($H53:$BG53)=SUM($H51:CR51), " ", IF(AT53=SUM($H51:CR51), " ", "x"))))</f>
        <v xml:space="preserve"> </v>
      </c>
      <c r="AU55" s="50" t="str">
        <f>IF(AU51= " ", " ",IF(AU53&gt;SUM($H51:$BG51), " N/A", IF(SUM($H53:$BG53)=SUM($H51:CS51), " ", IF(AU53=SUM($H51:CS51), " ", "x"))))</f>
        <v xml:space="preserve"> </v>
      </c>
      <c r="AV55" s="50" t="str">
        <f>IF(AV51= " ", " ",IF(AV53&gt;SUM($H51:$BG51), " N/A", IF(SUM($H53:$BG53)=SUM($H51:CT51), " ", IF(AV53=SUM($H51:CT51), " ", "x"))))</f>
        <v xml:space="preserve"> </v>
      </c>
      <c r="AW55" s="50" t="str">
        <f>IF(AW51= " ", " ",IF(AW53&gt;SUM($H51:$BG51), " N/A", IF(SUM($H53:$BG53)=SUM($H51:CU51), " ", IF(AW53=SUM($H51:CU51), " ", "x"))))</f>
        <v xml:space="preserve"> </v>
      </c>
      <c r="AX55" s="50" t="str">
        <f>IF(AX51= " ", " ",IF(AX53&gt;SUM($H51:$BG51), " N/A", IF(SUM($H53:$BG53)=SUM($H51:CV51), " ", IF(AX53=SUM($H51:CV51), " ", "x"))))</f>
        <v xml:space="preserve"> </v>
      </c>
      <c r="AY55" s="50" t="str">
        <f>IF(AY51= " ", " ",IF(AY53&gt;SUM($H51:$BG51), " N/A", IF(SUM($H53:$BG53)=SUM($H51:CW51), " ", IF(AY53=SUM($H51:CW51), " ", "x"))))</f>
        <v xml:space="preserve"> </v>
      </c>
      <c r="AZ55" s="50" t="str">
        <f>IF(AZ51= " ", " ",IF(AZ53&gt;SUM($H51:$BG51), " N/A", IF(SUM($H53:$BG53)=SUM($H51:CX51), " ", IF(AZ53=SUM($H51:CX51), " ", "x"))))</f>
        <v xml:space="preserve"> </v>
      </c>
      <c r="BA55" s="50" t="str">
        <f>IF(BA51= " ", " ",IF(BA53&gt;SUM($H51:$BG51), " N/A", IF(SUM($H53:$BG53)=SUM($H51:CY51), " ", IF(BA53=SUM($H51:CY51), " ", "x"))))</f>
        <v xml:space="preserve"> </v>
      </c>
      <c r="BB55" s="50" t="str">
        <f>IF(BB51= " ", " ",IF(BB53&gt;SUM($H51:$BG51), " N/A", IF(SUM($H53:$BG53)=SUM($H51:CZ51), " ", IF(BB53=SUM($H51:CZ51), " ", "x"))))</f>
        <v xml:space="preserve"> </v>
      </c>
      <c r="BC55" s="50" t="str">
        <f>IF(BC51= " ", " ",IF(BC53&gt;SUM($H51:$BG51), " N/A", IF(SUM($H53:$BG53)=SUM($H51:DA51), " ", IF(BC53=SUM($H51:DA51), " ", "x"))))</f>
        <v xml:space="preserve"> </v>
      </c>
      <c r="BD55" s="50" t="str">
        <f>IF(BD51= " ", " ",IF(BD53&gt;SUM($H51:$BG51), " N/A", IF(SUM($H53:$BG53)=SUM($H51:DB51), " ", IF(BD53=SUM($H51:DB51), " ", "x"))))</f>
        <v xml:space="preserve"> </v>
      </c>
      <c r="BE55" s="50" t="str">
        <f>IF(BE51= " ", " ",IF(BE53&gt;SUM($H51:$BG51), " N/A", IF(SUM($H53:$BG53)=SUM($H51:DC51), " ", IF(BE53=SUM($H51:DC51), " ", "x"))))</f>
        <v xml:space="preserve"> </v>
      </c>
      <c r="BF55" s="50" t="str">
        <f>IF(BF51= " ", " ",IF(BF53&gt;SUM($H51:$BG51), " N/A", IF(SUM($H53:$BG53)=SUM($H51:DD51), " ", IF(BF53=SUM($H51:DD51), " ", "x"))))</f>
        <v xml:space="preserve"> </v>
      </c>
      <c r="BG55" s="50" t="str">
        <f>IF(BG51= " ", " ",IF(BG53&gt;SUM($H51:$BG51), " N/A", IF(SUM($H53:$BG53)=SUM($H51:DE51), " ", IF(BG53=SUM($H51:DE51), " ", "x"))))</f>
        <v xml:space="preserve"> </v>
      </c>
      <c r="BH55" s="21"/>
    </row>
    <row r="56" spans="2:60" ht="15.6" x14ac:dyDescent="0.3">
      <c r="B56" s="71"/>
      <c r="C56" s="77"/>
      <c r="D56" s="82" t="s">
        <v>249</v>
      </c>
      <c r="E56" s="54">
        <f>SUM(H56:BG56)</f>
        <v>16</v>
      </c>
      <c r="F56" s="115">
        <f>Gant_24!$E56-E58</f>
        <v>0</v>
      </c>
      <c r="H56" s="41"/>
      <c r="I56" s="42"/>
      <c r="J56" s="42"/>
      <c r="K56" s="42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>
        <v>16</v>
      </c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  <c r="BG56" s="51"/>
      <c r="BH56" s="21"/>
    </row>
    <row r="57" spans="2:60" ht="15.6" x14ac:dyDescent="0.3">
      <c r="B57" s="68"/>
      <c r="C57" s="78"/>
      <c r="D57" s="83" t="s">
        <v>261</v>
      </c>
      <c r="E57" s="55">
        <f>SUM(H57:BG57)</f>
        <v>0</v>
      </c>
      <c r="F57" s="116"/>
      <c r="H57" s="43"/>
      <c r="I57" s="44"/>
      <c r="J57" s="44"/>
      <c r="K57" s="44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0"/>
      <c r="AE57" s="50"/>
      <c r="AF57" s="50"/>
      <c r="AG57" s="50"/>
      <c r="AH57" s="50"/>
      <c r="AI57" s="50"/>
      <c r="AJ57" s="50"/>
      <c r="AK57" s="50"/>
      <c r="AL57" s="50"/>
      <c r="AM57" s="50"/>
      <c r="AN57" s="50"/>
      <c r="AO57" s="50"/>
      <c r="AP57" s="50"/>
      <c r="AQ57" s="50"/>
      <c r="AR57" s="50"/>
      <c r="AS57" s="50"/>
      <c r="AT57" s="50"/>
      <c r="AU57" s="50"/>
      <c r="AV57" s="50"/>
      <c r="AW57" s="50"/>
      <c r="AX57" s="50"/>
      <c r="AY57" s="50"/>
      <c r="AZ57" s="50"/>
      <c r="BA57" s="50"/>
      <c r="BB57" s="50"/>
      <c r="BC57" s="50"/>
      <c r="BD57" s="50"/>
      <c r="BE57" s="50"/>
      <c r="BF57" s="50"/>
      <c r="BG57" s="50"/>
      <c r="BH57" s="21"/>
    </row>
    <row r="58" spans="2:60" ht="15.6" x14ac:dyDescent="0.3">
      <c r="B58" s="68" t="s">
        <v>70</v>
      </c>
      <c r="C58" s="78" t="s">
        <v>71</v>
      </c>
      <c r="D58" s="83" t="s">
        <v>241</v>
      </c>
      <c r="E58" s="55">
        <f>SUM(H58:BG58)</f>
        <v>16</v>
      </c>
      <c r="F58" s="116"/>
      <c r="H58" s="45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>
        <v>16</v>
      </c>
      <c r="AG58" s="46"/>
      <c r="AH58" s="46"/>
      <c r="AI58" s="46"/>
      <c r="AJ58" s="46"/>
      <c r="AK58" s="46"/>
      <c r="AL58" s="46"/>
      <c r="AM58" s="46"/>
      <c r="AN58" s="46"/>
      <c r="AO58" s="46"/>
      <c r="AP58" s="46"/>
      <c r="AQ58" s="46"/>
      <c r="AR58" s="46"/>
      <c r="AS58" s="46"/>
      <c r="AT58" s="46"/>
      <c r="AU58" s="46"/>
      <c r="AV58" s="46"/>
      <c r="AW58" s="46"/>
      <c r="AX58" s="46"/>
      <c r="AY58" s="46"/>
      <c r="AZ58" s="46"/>
      <c r="BA58" s="46"/>
      <c r="BB58" s="46"/>
      <c r="BC58" s="46"/>
      <c r="BD58" s="46"/>
      <c r="BE58" s="46"/>
      <c r="BF58" s="46"/>
      <c r="BG58" s="46"/>
      <c r="BH58" s="21"/>
    </row>
    <row r="59" spans="2:60" ht="15.6" x14ac:dyDescent="0.3">
      <c r="B59" s="68"/>
      <c r="C59" s="78"/>
      <c r="D59" s="83" t="s">
        <v>278</v>
      </c>
      <c r="E59" s="56">
        <f ca="1">MAX(H59:BG59)</f>
        <v>0</v>
      </c>
      <c r="F59" s="116"/>
      <c r="H59" s="47"/>
      <c r="I59" s="48"/>
      <c r="J59" s="48"/>
      <c r="K59" s="48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48"/>
      <c r="AB59" s="48"/>
      <c r="AC59" s="48" t="str">
        <f>IF(SUM(H56:BG56) = AC58, " 0 ", " ")</f>
        <v xml:space="preserve"> </v>
      </c>
      <c r="AD59" s="48" t="str">
        <f ca="1">IF(AD9&gt;WEEKNUM(TODAY())," ",IF(AND(AD10="x",SUM($AC58:AD58)&gt;$AC56),H9-(SUM($AC58:AC58)/SUM($AC56:$BG56)),IF(SUM($AC58:AD58)&gt;=$AC56," ",H9-(SUM($AC58:AC58)/(SUM($AC56:$BG56))))))</f>
        <v xml:space="preserve"> </v>
      </c>
      <c r="AE59" s="48" t="str">
        <f ca="1">IF(AE9&gt;WEEKNUM(TODAY())," ",IF(AND(AE10="x",SUM($AC58:AE58)&gt;$AC56),I9-(SUM($AC58:AD58)/SUM($AC56:$BG56)),IF(SUM($AC58:AE58)&gt;=$AC56," ",I9-(SUM($AC58:AD58)/(SUM($AC56:$BG56))))))</f>
        <v xml:space="preserve"> </v>
      </c>
      <c r="AF59" s="48" t="str">
        <f ca="1">IF(AF9&gt;WEEKNUM(TODAY())," ",IF(AND(AF10="x",SUM($AC58:AF58)&gt;$AC56),J9-(SUM($AC58:AE58)/SUM($AC56:$BG56)),IF(SUM($AC58:AF58)&gt;=$AC56," ",J9-(SUM($AC58:AE58)/(SUM($AC56:$BG56))))))</f>
        <v xml:space="preserve"> </v>
      </c>
      <c r="AG59" s="48" t="str">
        <f ca="1">IF(AG9&gt;WEEKNUM(TODAY())," ",IF(AND(AG10="x",SUM($AC58:AG58)&gt;$AC56),K9-(SUM($AC58:AF58)/SUM($AC56:$BG56)),IF(SUM($AC58:AG58)&gt;=$AC56," ",K9-(SUM($AC58:AF58)/(SUM($AC56:$BG56))))))</f>
        <v xml:space="preserve"> </v>
      </c>
      <c r="AH59" s="48" t="str">
        <f ca="1">IF(AH9&gt;WEEKNUM(TODAY())," ",IF(AND(AH10="x",SUM($AC58:AH58)&gt;$AC56),L9-(SUM($AC58:AG58)/SUM($AC56:$BG56)),IF(SUM($AC58:AH58)&gt;=$AC56," ",L9-(SUM($AC58:AG58)/(SUM($AC56:$BG56))))))</f>
        <v xml:space="preserve"> </v>
      </c>
      <c r="AI59" s="48" t="str">
        <f ca="1">IF(AI9&gt;WEEKNUM(TODAY())," ",IF(AND(AI10="x",SUM($AC58:AI58)&gt;$AC56),M9-(SUM($AC58:AH58)/SUM($AC56:$BG56)),IF(SUM($AC58:AI58)&gt;=$AC56," ",M9-(SUM($AC58:AH58)/(SUM($AC56:$BG56))))))</f>
        <v xml:space="preserve"> </v>
      </c>
      <c r="AJ59" s="48" t="str">
        <f ca="1">IF(AJ9&gt;WEEKNUM(TODAY())," ",IF(AND(AJ10="x",SUM($AC58:AJ58)&gt;$AC56),N9-(SUM($AC58:AI58)/SUM($AC56:$BG56)),IF(SUM($AC58:AJ58)&gt;=$AC56," ",N9-(SUM($AC58:AI58)/(SUM($AC56:$BG56))))))</f>
        <v xml:space="preserve"> </v>
      </c>
      <c r="AK59" s="48" t="str">
        <f ca="1">IF(AK9&gt;WEEKNUM(TODAY())," ",IF(AND(AK10="x",SUM($AC58:AK58)&gt;$AC56),O9-(SUM($AC58:AJ58)/SUM($AC56:$BG56)),IF(SUM($AC58:AK58)&gt;=$AC56," ",O9-(SUM($AC58:AJ58)/(SUM($AC56:$BG56))))))</f>
        <v xml:space="preserve"> </v>
      </c>
      <c r="AL59" s="48" t="str">
        <f ca="1">IF(AL9&gt;WEEKNUM(TODAY())," ",IF(AND(AL10="x",SUM($AC58:AL58)&gt;$AC56),P9-(SUM($AC58:AK58)/SUM($AC56:$BG56)),IF(SUM($AC58:AL58)&gt;=$AC56," ",P9-(SUM($AC58:AK58)/(SUM($AC56:$BG56))))))</f>
        <v xml:space="preserve"> </v>
      </c>
      <c r="AM59" s="48" t="str">
        <f ca="1">IF(AM9&gt;WEEKNUM(TODAY())," ",IF(AND(AM10="x",SUM($AC58:AM58)&gt;$AC56),Q9-(SUM($AC58:AL58)/SUM($AC56:$BG56)),IF(SUM($AC58:AM58)&gt;=$AC56," ",Q9-(SUM($AC58:AL58)/(SUM($AC56:$BG56))))))</f>
        <v xml:space="preserve"> </v>
      </c>
      <c r="AN59" s="48" t="str">
        <f ca="1">IF(AN9&gt;WEEKNUM(TODAY())," ",IF(AND(AN10="x",SUM($AC58:AN58)&gt;$AC56),R9-(SUM($AC58:AM58)/SUM($AC56:$BG56)),IF(SUM($AC58:AN58)&gt;=$AC56," ",R9-(SUM($AC58:AM58)/(SUM($AC56:$BG56))))))</f>
        <v xml:space="preserve"> </v>
      </c>
      <c r="AO59" s="48" t="str">
        <f ca="1">IF(AO9&gt;WEEKNUM(TODAY())," ",IF(AND(AO10="x",SUM($AC58:AO58)&gt;$AC56),S9-(SUM($AC58:AN58)/SUM($AC56:$BG56)),IF(SUM($AC58:AO58)&gt;=$AC56," ",S9-(SUM($AC58:AN58)/(SUM($AC56:$BG56))))))</f>
        <v xml:space="preserve"> </v>
      </c>
      <c r="AP59" s="48" t="str">
        <f ca="1">IF(AP9&gt;WEEKNUM(TODAY())," ",IF(AND(AP10="x",SUM($AC58:AP58)&gt;$AC56),T9-(SUM($AC58:AO58)/SUM($AC56:$BG56)),IF(SUM($AC58:AP58)&gt;=$AC56," ",T9-(SUM($AC58:AO58)/(SUM($AC56:$BG56))))))</f>
        <v xml:space="preserve"> </v>
      </c>
      <c r="AQ59" s="48" t="str">
        <f ca="1">IF(AQ9&gt;WEEKNUM(TODAY())," ",IF(AND(AQ10="x",SUM($AC58:AQ58)&gt;$AC56),U9-(SUM($AC58:AP58)/SUM($AC56:$BG56)),IF(SUM($AC58:AQ58)&gt;=$AC56," ",U9-(SUM($AC58:AP58)/(SUM($AC56:$BG56))))))</f>
        <v xml:space="preserve"> </v>
      </c>
      <c r="AR59" s="48" t="str">
        <f ca="1">IF(AR9&gt;WEEKNUM(TODAY())," ",IF(AND(AR10="x",SUM($AC58:AR58)&gt;$AC56),V9-(SUM($AC58:AQ58)/SUM($AC56:$BG56)),IF(SUM($AC58:AR58)&gt;=$AC56," ",V9-(SUM($AC58:AQ58)/(SUM($AC56:$BG56))))))</f>
        <v xml:space="preserve"> </v>
      </c>
      <c r="AS59" s="48" t="str">
        <f ca="1">IF(AS9&gt;WEEKNUM(TODAY())," ",IF(AND(AS10="x",SUM($AC58:AS58)&gt;$AC56),W9-(SUM($AC58:AR58)/SUM($AC56:$BG56)),IF(SUM($AC58:AS58)&gt;=$AC56," ",W9-(SUM($AC58:AR58)/(SUM($AC56:$BG56))))))</f>
        <v xml:space="preserve"> </v>
      </c>
      <c r="AT59" s="48" t="str">
        <f ca="1">IF(AT9&gt;WEEKNUM(TODAY())," ",IF(AND(AT10="x",SUM($AC58:AT58)&gt;$AC56),X9-(SUM($AC58:AS58)/SUM($AC56:$BG56)),IF(SUM($AC58:AT58)&gt;=$AC56," ",X9-(SUM($AC58:AS58)/(SUM($AC56:$BG56))))))</f>
        <v xml:space="preserve"> </v>
      </c>
      <c r="AU59" s="48" t="str">
        <f ca="1">IF(AU9&gt;WEEKNUM(TODAY())," ",IF(AND(AU10="x",SUM($AC58:AU58)&gt;$AC56),Y9-(SUM($AC58:AT58)/SUM($AC56:$BG56)),IF(SUM($AC58:AU58)&gt;=$AC56," ",Y9-(SUM($AC58:AT58)/(SUM($AC56:$BG56))))))</f>
        <v xml:space="preserve"> </v>
      </c>
      <c r="AV59" s="48" t="str">
        <f ca="1">IF(AV9&gt;WEEKNUM(TODAY())," ",IF(AND(AV10="x",SUM($AC58:AV58)&gt;$AC56),Z9-(SUM($AC58:AU58)/SUM($AC56:$BG56)),IF(SUM($AC58:AV58)&gt;=$AC56," ",Z9-(SUM($AC58:AU58)/(SUM($AC56:$BG56))))))</f>
        <v xml:space="preserve"> </v>
      </c>
      <c r="AW59" s="48" t="str">
        <f ca="1">IF(AW9&gt;WEEKNUM(TODAY())," ",IF(AND(AW10="x",SUM($AC58:AW58)&gt;$AC56),AA9-(SUM($AC58:AV58)/SUM($AC56:$BG56)),IF(SUM($AC58:AW58)&gt;=$AC56," ",AA9-(SUM($AC58:AV58)/(SUM($AC56:$BG56))))))</f>
        <v xml:space="preserve"> </v>
      </c>
      <c r="AX59" s="48" t="str">
        <f ca="1">IF(AX9&gt;WEEKNUM(TODAY())," ",IF(AND(AX10="x",SUM($AC58:AX58)&gt;$AC56),AB9-(SUM($AC58:AW58)/SUM($AC56:$BG56)),IF(SUM($AC58:AX58)&gt;=$AC56," ",AB9-(SUM($AC58:AW58)/(SUM($AC56:$BG56))))))</f>
        <v xml:space="preserve"> </v>
      </c>
      <c r="AY59" s="48" t="str">
        <f ca="1">IF(AY9&gt;WEEKNUM(TODAY())," ",IF(AND(AY10="x",SUM($AC58:AY58)&gt;$AC56),AC9-(SUM($AC58:AX58)/SUM($AC56:$BG56)),IF(SUM($AC58:AY58)&gt;=$AC56," ",AC9-(SUM($AC58:AX58)/(SUM($AC56:$BG56))))))</f>
        <v xml:space="preserve"> </v>
      </c>
      <c r="AZ59" s="48" t="str">
        <f ca="1">IF(AZ9&gt;WEEKNUM(TODAY())," ",IF(AND(AZ10="x",SUM($AC58:AZ58)&gt;$AC56),AD9-(SUM($AC58:AY58)/SUM($AC56:$BG56)),IF(SUM($AC58:AZ58)&gt;=$AC56," ",AD9-(SUM($AC58:AY58)/(SUM($AC56:$BG56))))))</f>
        <v xml:space="preserve"> </v>
      </c>
      <c r="BA59" s="48" t="str">
        <f ca="1">IF(BA9&gt;WEEKNUM(TODAY())," ",IF(AND(BA10="x",SUM($AC58:BA58)&gt;$AC56),AE9-(SUM($AC58:AZ58)/SUM($AC56:$BG56)),IF(SUM($AC58:BA58)&gt;=$AC56," ",AE9-(SUM($AC58:AZ58)/(SUM($AC56:$BG56))))))</f>
        <v xml:space="preserve"> </v>
      </c>
      <c r="BB59" s="48" t="str">
        <f ca="1">IF(BB9&gt;WEEKNUM(TODAY())," ",IF(AND(BB10="x",SUM($AC58:BB58)&gt;$AC56),AF9-(SUM($AC58:BA58)/SUM($AC56:$BG56)),IF(SUM($AC58:BB58)&gt;=$AC56," ",AF9-(SUM($AC58:BA58)/(SUM($AC56:$BG56))))))</f>
        <v xml:space="preserve"> </v>
      </c>
      <c r="BC59" s="48" t="str">
        <f ca="1">IF(BC9&gt;WEEKNUM(TODAY())," ",IF(AND(BC10="x",SUM($AC58:BC58)&gt;$AC56),AG9-(SUM($AC58:BB58)/SUM($AC56:$BG56)),IF(SUM($AC58:BC58)&gt;=$AC56," ",AG9-(SUM($AC58:BB58)/(SUM($AC56:$BG56))))))</f>
        <v xml:space="preserve"> </v>
      </c>
      <c r="BD59" s="48" t="str">
        <f ca="1">IF(BD9&gt;WEEKNUM(TODAY())," ",IF(AND(BD10="x",SUM($AC58:BD58)&gt;$AC56),AH9-(SUM($AC58:BC58)/SUM($AC56:$BG56)),IF(SUM($AC58:BD58)&gt;=$AC56," ",AH9-(SUM($AC58:BC58)/(SUM($AC56:$BG56))))))</f>
        <v xml:space="preserve"> </v>
      </c>
      <c r="BE59" s="48" t="str">
        <f ca="1">IF(BE9&gt;WEEKNUM(TODAY())," ",IF(AND(BE10="x",SUM($AC58:BE58)&gt;$AC56),AI9-(SUM($AC58:BD58)/SUM($AC56:$BG56)),IF(SUM($AC58:BE58)&gt;=$AC56," ",AI9-(SUM($AC58:BD58)/(SUM($AC56:$BG56))))))</f>
        <v xml:space="preserve"> </v>
      </c>
      <c r="BF59" s="48" t="str">
        <f ca="1">IF(BF9&gt;WEEKNUM(TODAY())," ",IF(AND(BF10="x",SUM($AC58:BF58)&gt;$AC56),AJ9-(SUM($AC58:BE58)/SUM($AC56:$BG56)),IF(SUM($AC58:BF58)&gt;=$AC56," ",AJ9-(SUM($AC58:BE58)/(SUM($AC56:$BG56))))))</f>
        <v xml:space="preserve"> </v>
      </c>
      <c r="BG59" s="48" t="str">
        <f ca="1">IF(BG9&gt;WEEKNUM(TODAY())," ",IF(AND(BG10="x",SUM($AC58:BG58)&gt;$AC56),AK9-(SUM($AC58:BF58)/SUM($AC56:$BG56)),IF(SUM($AC58:BG58)&gt;=$AC56," ",AK9-(SUM($AC58:BF58)/(SUM($AC56:$BG56))))))</f>
        <v xml:space="preserve"> </v>
      </c>
      <c r="BH59" s="21"/>
    </row>
    <row r="60" spans="2:60" ht="16.2" thickBot="1" x14ac:dyDescent="0.35">
      <c r="B60" s="70"/>
      <c r="C60" s="79"/>
      <c r="D60" s="84"/>
      <c r="E60" s="57"/>
      <c r="F60" s="117"/>
      <c r="H60" s="49" t="str">
        <f>IF(H56= " ", " ",IF(H58&gt;SUM($H56:$BG56), " N/A", IF(SUM($H58:$BG58)=SUM($H56:BG56), " ", IF(H58=SUM($H56:BG56), " ", "x"))))</f>
        <v xml:space="preserve"> </v>
      </c>
      <c r="I60" s="50" t="str">
        <f>IF(SUM($H58:I58) &gt; SUM($H56:I56),  " N/A", IF(SUM($H58:$BG58) = SUM($H56:$BH56),    " ",IF(I58 = SUM($H56:$BH56),  " ",   "x")))</f>
        <v xml:space="preserve"> </v>
      </c>
      <c r="J60" s="50" t="str">
        <f>IF(SUM($H58:J58) &gt; SUM($H56:J56),  " N/A", IF(SUM($H58:$BG58) = SUM($H56:$BH56),    " ",IF(J58 = SUM($H56:$BH56),  " ",   "x")))</f>
        <v xml:space="preserve"> </v>
      </c>
      <c r="K60" s="50" t="str">
        <f>IF(SUM($H58:K58) &gt; SUM($H56:K56),  " N/A", IF(SUM($H58:$BG58) = SUM($H56:$BH56),    " ",IF(K58 = SUM($H56:$BH56),  " ",   "x")))</f>
        <v xml:space="preserve"> </v>
      </c>
      <c r="L60" s="50" t="str">
        <f>IF(SUM($H58:L58) &gt; SUM($H56:L56),  " N/A", IF(SUM($H58:$BG58) = SUM($H56:$BH56),    " ",IF(L58 = SUM($H56:$BH56),  " ",   "x")))</f>
        <v xml:space="preserve"> </v>
      </c>
      <c r="M60" s="50" t="str">
        <f>IF(SUM($H58:M58) &gt; SUM($H56:M56),  " N/A", IF(SUM($H58:$BG58) = SUM($H56:$BH56),    " ",IF(M58 = SUM($H56:$BH56),  " ",   "x")))</f>
        <v xml:space="preserve"> </v>
      </c>
      <c r="N60" s="50" t="str">
        <f>IF(SUM($H58:N58) &gt; SUM($H56:N56),  " N/A", IF(SUM($H58:$BG58) = SUM($H56:$BH56),    " ",IF(N58 = SUM($H56:$BH56),  " ",   "x")))</f>
        <v xml:space="preserve"> </v>
      </c>
      <c r="O60" s="50" t="str">
        <f>IF(SUM($H58:O58) &gt; SUM($H56:O56),  " N/A", IF(SUM($H58:$BG58) = SUM($H56:$BH56),    " ",IF(O58 = SUM($H56:$BH56),  " ",   "x")))</f>
        <v xml:space="preserve"> </v>
      </c>
      <c r="P60" s="50" t="str">
        <f>IF(SUM($H58:P58) &gt; SUM($H56:P56),  " N/A", IF(SUM($H58:$BG58) = SUM($H56:$BH56),    " ",IF(P58 = SUM($H56:$BH56),  " ",   "x")))</f>
        <v xml:space="preserve"> </v>
      </c>
      <c r="Q60" s="50" t="str">
        <f>IF(SUM($H58:Q58) &gt; SUM($H56:Q56),  " N/A", IF(SUM($H58:$BG58) = SUM($H56:$BH56),    " ",IF(Q58 = SUM($H56:$BH56),  " ",   "x")))</f>
        <v xml:space="preserve"> </v>
      </c>
      <c r="R60" s="50" t="str">
        <f>IF(SUM($H58:R58) &gt; SUM($H56:R56),  " N/A", IF(SUM($H58:$BG58) = SUM($H56:$BH56),    " ",IF(R58 = SUM($H56:$BH56),  " ",   "x")))</f>
        <v xml:space="preserve"> </v>
      </c>
      <c r="S60" s="50" t="str">
        <f>IF(SUM($H58:S58) &gt; SUM($H56:S56),  " N/A", IF(SUM($H58:$BG58) = SUM($H56:$BH56),    " ",IF(S58 = SUM($H56:$BH56),  " ",   "x")))</f>
        <v xml:space="preserve"> </v>
      </c>
      <c r="T60" s="50" t="str">
        <f>IF(SUM($H58:T58) &gt; SUM($H56:T56),  " N/A", IF(SUM($H58:$BG58) = SUM($H56:$BH56),    " ",IF(T58 = SUM($H56:$BH56),  " ",   "x")))</f>
        <v xml:space="preserve"> </v>
      </c>
      <c r="U60" s="50" t="str">
        <f>IF(SUM($H58:U58) &gt; SUM($H56:U56),  " N/A", IF(SUM($H58:$BG58) = SUM($H56:$BH56),    " ",IF(U58 = SUM($H56:$BH56),  " ",   "x")))</f>
        <v xml:space="preserve"> </v>
      </c>
      <c r="V60" s="50" t="str">
        <f>IF(SUM($H58:V58) &gt; SUM($H56:V56),  " N/A", IF(SUM($H58:$BG58) = SUM($H56:$BH56),    " ",IF(V58 = SUM($H56:$BH56),  " ",   "x")))</f>
        <v xml:space="preserve"> </v>
      </c>
      <c r="W60" s="50" t="str">
        <f>IF(SUM($H58:W58) &gt; SUM($H56:W56),  " N/A", IF(SUM($H58:$BG58) = SUM($H56:$BH56),    " ",IF(W58 = SUM($H56:$BH56),  " ",   "x")))</f>
        <v xml:space="preserve"> </v>
      </c>
      <c r="X60" s="50" t="str">
        <f>IF(SUM($H58:X58) &gt; SUM($H56:X56),  " N/A", IF(SUM($H58:$BG58) = SUM($H56:$BH56),    " ",IF(X58 = SUM($H56:$BH56),  " ",   "x")))</f>
        <v xml:space="preserve"> </v>
      </c>
      <c r="Y60" s="50" t="str">
        <f>IF(SUM($H58:Y58) &gt; SUM($H56:Y56),  " N/A", IF(SUM($H58:$BG58) = SUM($H56:$BH56),    " ",IF(Y58 = SUM($H56:$BH56),  " ",   "x")))</f>
        <v xml:space="preserve"> </v>
      </c>
      <c r="Z60" s="50" t="str">
        <f>IF(SUM($H58:Z58) &gt; SUM($H56:Z56),  " N/A", IF(SUM($H58:$BG58) = SUM($H56:$BH56),    " ",IF(Z58 = SUM($H56:$BH56),  " ",   "x")))</f>
        <v xml:space="preserve"> </v>
      </c>
      <c r="AA60" s="50" t="str">
        <f>IF(SUM($H58:AA58) &gt; SUM($H56:AA56),  " N/A", IF(SUM($H58:$BG58) = SUM($H56:$BH56),    " ",IF(AA58 = SUM($H56:$BH56),  " ",   "x")))</f>
        <v xml:space="preserve"> </v>
      </c>
      <c r="AB60" s="50" t="str">
        <f>IF(SUM($H58:AB58) &gt; SUM($H56:AB56),  " N/A", IF(SUM($H58:$BG58) = SUM($H56:$BH56),    " ",IF(AB58 = SUM($H56:$BH56),  " ",   "x")))</f>
        <v xml:space="preserve"> </v>
      </c>
      <c r="AC60" s="50" t="str">
        <f>IF(SUM($H58:AC58) &gt; SUM($H56:AC56),  " N/A", IF(SUM($H58:$BG58) = SUM($H56:$BH56),    " ",IF(AC58 = SUM($H56:$BH56),  " ",   "x")))</f>
        <v xml:space="preserve"> </v>
      </c>
      <c r="AD60" s="50" t="str">
        <f>IF(SUM($H58:AD58) &gt; SUM($H56:AD56),  " N/A", IF(SUM($H58:$BG58) = SUM($H56:$BH56),    " ",IF(AD58 = SUM($H56:$BH56),  " ",   "x")))</f>
        <v xml:space="preserve"> </v>
      </c>
      <c r="AE60" s="50" t="str">
        <f>IF(SUM($H58:AE58) &gt; SUM($H56:AE56),  " N/A", IF(SUM($H58:$BG58) = SUM($H56:$BH56),    " ",IF(AE58 = SUM($H56:$BH56),  " ",   "x")))</f>
        <v xml:space="preserve"> </v>
      </c>
      <c r="AF60" s="50" t="str">
        <f>IF(SUM($H58:AF58) &gt; SUM($H56:AF56),  " N/A", IF(SUM($H58:$BG58) = SUM($H56:$BH56),    " ",IF(AF58 = SUM($H56:$BH56),  " ",   "x")))</f>
        <v xml:space="preserve"> </v>
      </c>
      <c r="AG60" s="50" t="str">
        <f>IF(SUM($H58:AG58) &gt; SUM($H56:AG56),  " N/A", IF(SUM($H58:$BG58) = SUM($H56:$BH56),    " ",IF(AG58 = SUM($H56:$BH56),  " ",   "x")))</f>
        <v xml:space="preserve"> </v>
      </c>
      <c r="AH60" s="50" t="str">
        <f>IF(SUM($H58:AH58) &gt; SUM($H56:AH56),  " N/A", IF(SUM($H58:$BG58) = SUM($H56:$BH56),    " ",IF(AH58 = SUM($H56:$BH56),  " ",   "x")))</f>
        <v xml:space="preserve"> </v>
      </c>
      <c r="AI60" s="50" t="str">
        <f>IF(SUM($H58:AI58) &gt; SUM($H56:AI56),  " N/A", IF(SUM($H58:$BG58) = SUM($H56:$BH56),    " ",IF(AI58 = SUM($H56:$BH56),  " ",   "x")))</f>
        <v xml:space="preserve"> </v>
      </c>
      <c r="AJ60" s="50" t="str">
        <f>IF(SUM($H58:AJ58) &gt; SUM($H56:AJ56),  " N/A", IF(SUM($H58:$BG58) = SUM($H56:$BH56),    " ",IF(AJ58 = SUM($H56:$BH56),  " ",   "x")))</f>
        <v xml:space="preserve"> </v>
      </c>
      <c r="AK60" s="50" t="str">
        <f>IF(SUM($H58:AK58) &gt; SUM($H56:AK56),  " N/A", IF(SUM($H58:$BG58) = SUM($H56:$BH56),    " ",IF(AK58 = SUM($H56:$BH56),  " ",   "x")))</f>
        <v xml:space="preserve"> </v>
      </c>
      <c r="AL60" s="50" t="str">
        <f>IF(SUM($H58:AL58) &gt; SUM($H56:AL56),  " N/A", IF(SUM($H58:$BG58) = SUM($H56:$BH56),    " ",IF(AL58 = SUM($H56:$BH56),  " ",   "x")))</f>
        <v xml:space="preserve"> </v>
      </c>
      <c r="AM60" s="50" t="str">
        <f>IF(SUM($H58:AM58) &gt; SUM($H56:AM56),  " N/A", IF(SUM($H58:$BG58) = SUM($H56:$BH56),    " ",IF(AM58 = SUM($H56:$BH56),  " ",   "x")))</f>
        <v xml:space="preserve"> </v>
      </c>
      <c r="AN60" s="50" t="str">
        <f>IF(SUM($H58:AN58) &gt; SUM($H56:AN56),  " N/A", IF(SUM($H58:$BG58) = SUM($H56:$BH56),    " ",IF(AN58 = SUM($H56:$BH56),  " ",   "x")))</f>
        <v xml:space="preserve"> </v>
      </c>
      <c r="AO60" s="50" t="str">
        <f>IF(SUM($H58:AO58) &gt; SUM($H56:AO56),  " N/A", IF(SUM($H58:$BG58) = SUM($H56:$BH56),    " ",IF(AO58 = SUM($H56:$BH56),  " ",   "x")))</f>
        <v xml:space="preserve"> </v>
      </c>
      <c r="AP60" s="50" t="str">
        <f>IF(SUM($H58:AP58) &gt; SUM($H56:AP56),  " N/A", IF(SUM($H58:$BG58) = SUM($H56:$BH56),    " ",IF(AP58 = SUM($H56:$BH56),  " ",   "x")))</f>
        <v xml:space="preserve"> </v>
      </c>
      <c r="AQ60" s="50" t="str">
        <f>IF(SUM($H58:AQ58) &gt; SUM($H56:AQ56),  " N/A", IF(SUM($H58:$BG58) = SUM($H56:$BH56),    " ",IF(AQ58 = SUM($H56:$BH56),  " ",   "x")))</f>
        <v xml:space="preserve"> </v>
      </c>
      <c r="AR60" s="50" t="str">
        <f>IF(SUM($H58:AR58) &gt; SUM($H56:AR56),  " N/A", IF(SUM($H58:$BG58) = SUM($H56:$BH56),    " ",IF(AR58 = SUM($H56:$BH56),  " ",   "x")))</f>
        <v xml:space="preserve"> </v>
      </c>
      <c r="AS60" s="50" t="str">
        <f>IF(SUM($H58:AS58) &gt; SUM($H56:AS56),  " N/A", IF(SUM($H58:$BG58) = SUM($H56:$BH56),    " ",IF(AS58 = SUM($H56:$BH56),  " ",   "x")))</f>
        <v xml:space="preserve"> </v>
      </c>
      <c r="AT60" s="50" t="str">
        <f>IF(SUM($H58:AT58) &gt; SUM($H56:AT56),  " N/A", IF(SUM($H58:$BG58) = SUM($H56:$BH56),    " ",IF(AT58 = SUM($H56:$BH56),  " ",   "x")))</f>
        <v xml:space="preserve"> </v>
      </c>
      <c r="AU60" s="50" t="str">
        <f>IF(SUM($H58:AU58) &gt; SUM($H56:AU56),  " N/A", IF(SUM($H58:$BG58) = SUM($H56:$BH56),    " ",IF(AU58 = SUM($H56:$BH56),  " ",   "x")))</f>
        <v xml:space="preserve"> </v>
      </c>
      <c r="AV60" s="50" t="str">
        <f>IF(SUM($H58:AV58) &gt; SUM($H56:AV56),  " N/A", IF(SUM($H58:$BG58) = SUM($H56:$BH56),    " ",IF(AV58 = SUM($H56:$BH56),  " ",   "x")))</f>
        <v xml:space="preserve"> </v>
      </c>
      <c r="AW60" s="50" t="str">
        <f>IF(SUM($H58:AW58) &gt; SUM($H56:AW56),  " N/A", IF(SUM($H58:$BG58) = SUM($H56:$BH56),    " ",IF(AW58 = SUM($H56:$BH56),  " ",   "x")))</f>
        <v xml:space="preserve"> </v>
      </c>
      <c r="AX60" s="50" t="str">
        <f>IF(SUM($H58:AX58) &gt; SUM($H56:AX56),  " N/A", IF(SUM($H58:$BG58) = SUM($H56:$BH56),    " ",IF(AX58 = SUM($H56:$BH56),  " ",   "x")))</f>
        <v xml:space="preserve"> </v>
      </c>
      <c r="AY60" s="50" t="str">
        <f>IF(SUM($H58:AY58) &gt; SUM($H56:AY56),  " N/A", IF(SUM($H58:$BG58) = SUM($H56:$BH56),    " ",IF(AY58 = SUM($H56:$BH56),  " ",   "x")))</f>
        <v xml:space="preserve"> </v>
      </c>
      <c r="AZ60" s="50" t="str">
        <f>IF(SUM($H58:AZ58) &gt; SUM($H56:AZ56),  " N/A", IF(SUM($H58:$BG58) = SUM($H56:$BH56),    " ",IF(AZ58 = SUM($H56:$BH56),  " ",   "x")))</f>
        <v xml:space="preserve"> </v>
      </c>
      <c r="BA60" s="50" t="str">
        <f>IF(SUM($H58:BA58) &gt; SUM($H56:BA56),  " N/A", IF(SUM($H58:$BG58) = SUM($H56:$BH56),    " ",IF(BA58 = SUM($H56:$BH56),  " ",   "x")))</f>
        <v xml:space="preserve"> </v>
      </c>
      <c r="BB60" s="50" t="str">
        <f>IF(SUM($H58:BB58) &gt; SUM($H56:BB56),  " N/A", IF(SUM($H58:$BG58) = SUM($H56:$BH56),    " ",IF(BB58 = SUM($H56:$BH56),  " ",   "x")))</f>
        <v xml:space="preserve"> </v>
      </c>
      <c r="BC60" s="50" t="str">
        <f>IF(SUM($H58:BC58) &gt; SUM($H56:BC56),  " N/A", IF(SUM($H58:$BG58) = SUM($H56:$BH56),    " ",IF(BC58 = SUM($H56:$BH56),  " ",   "x")))</f>
        <v xml:space="preserve"> </v>
      </c>
      <c r="BD60" s="50" t="str">
        <f>IF(SUM($H58:BD58) &gt; SUM($H56:BD56),  " N/A", IF(SUM($H58:$BG58) = SUM($H56:$BH56),    " ",IF(BD58 = SUM($H56:$BH56),  " ",   "x")))</f>
        <v xml:space="preserve"> </v>
      </c>
      <c r="BE60" s="50" t="str">
        <f>IF(SUM($H58:BE58) &gt; SUM($H56:BE56),  " N/A", IF(SUM($H58:$BG58) = SUM($H56:$BH56),    " ",IF(BE58 = SUM($H56:$BH56),  " ",   "x")))</f>
        <v xml:space="preserve"> </v>
      </c>
      <c r="BF60" s="50" t="str">
        <f>IF(SUM($H58:BF58) &gt; SUM($H56:BF56),  " N/A", IF(SUM($H58:$BG58) = SUM($H56:$BH56),    " ",IF(BF58 = SUM($H56:$BH56),  " ",   "x")))</f>
        <v xml:space="preserve"> </v>
      </c>
      <c r="BG60" s="50" t="str">
        <f>IF(SUM($H58:BG58) &gt; SUM($H56:BG56),  " N/A", IF(SUM($H58:$BG58) = SUM($H56:$BH56),    " ",IF(BG58 = SUM($H56:$BH56),  " ",   "x")))</f>
        <v xml:space="preserve"> </v>
      </c>
      <c r="BH60" s="21"/>
    </row>
    <row r="61" spans="2:60" ht="15.6" x14ac:dyDescent="0.3">
      <c r="B61" s="71"/>
      <c r="C61" s="77"/>
      <c r="D61" s="82" t="s">
        <v>249</v>
      </c>
      <c r="E61" s="54">
        <f>SUM(H61:BG61)</f>
        <v>0</v>
      </c>
      <c r="F61" s="115">
        <f>Gant_24!$E61-E63</f>
        <v>0</v>
      </c>
      <c r="H61" s="41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>
        <v>0</v>
      </c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42"/>
      <c r="BB61" s="42"/>
      <c r="BC61" s="42"/>
      <c r="BD61" s="42"/>
      <c r="BE61" s="42"/>
      <c r="BF61" s="42"/>
      <c r="BG61" s="42"/>
      <c r="BH61" s="21"/>
    </row>
    <row r="62" spans="2:60" ht="15.6" x14ac:dyDescent="0.3">
      <c r="B62" s="68"/>
      <c r="C62" s="78"/>
      <c r="D62" s="83" t="s">
        <v>261</v>
      </c>
      <c r="E62" s="55">
        <f>SUM(H62:BG62)</f>
        <v>0</v>
      </c>
      <c r="F62" s="116"/>
      <c r="H62" s="43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21"/>
    </row>
    <row r="63" spans="2:60" ht="15.6" x14ac:dyDescent="0.3">
      <c r="B63" s="68" t="s">
        <v>74</v>
      </c>
      <c r="C63" s="78" t="s">
        <v>75</v>
      </c>
      <c r="D63" s="83" t="s">
        <v>241</v>
      </c>
      <c r="E63" s="55">
        <f>SUM(H63:BG63)</f>
        <v>0</v>
      </c>
      <c r="F63" s="116"/>
      <c r="H63" s="45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  <c r="AO63" s="46"/>
      <c r="AP63" s="46"/>
      <c r="AQ63" s="46"/>
      <c r="AR63" s="46"/>
      <c r="AS63" s="46"/>
      <c r="AT63" s="46"/>
      <c r="AU63" s="46"/>
      <c r="AV63" s="46"/>
      <c r="AW63" s="46"/>
      <c r="AX63" s="46"/>
      <c r="AY63" s="46"/>
      <c r="AZ63" s="46"/>
      <c r="BA63" s="46"/>
      <c r="BB63" s="46"/>
      <c r="BC63" s="46"/>
      <c r="BD63" s="46"/>
      <c r="BE63" s="46"/>
      <c r="BF63" s="46"/>
      <c r="BG63" s="46"/>
      <c r="BH63" s="21"/>
    </row>
    <row r="64" spans="2:60" ht="15.6" x14ac:dyDescent="0.3">
      <c r="B64" s="68"/>
      <c r="C64" s="78"/>
      <c r="D64" s="83" t="s">
        <v>278</v>
      </c>
      <c r="E64" s="56">
        <f>MAX(H64:BG64)</f>
        <v>0</v>
      </c>
      <c r="F64" s="116"/>
      <c r="H64" s="47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  <c r="AB64" s="48"/>
      <c r="AC64" s="48" t="str">
        <f>IF(SUM(H61:BG61) = AC63, " 0 ", " ")</f>
        <v xml:space="preserve"> 0 </v>
      </c>
      <c r="AD64" s="48" t="str">
        <f>IF(AD63=0," ",IF(SUM($AC63:AD63)&gt;SUM($AC61:$BG61)," ",(1-(SUM($AC63:AC63)/(SUM($AC61:$BG61))))))</f>
        <v xml:space="preserve"> </v>
      </c>
      <c r="AE64" s="48" t="str">
        <f>IF(AE63=0," ",IF(SUM($AC63:AE63)&gt;SUM($AC61:$BG61)," ",(2-(SUM($AC63:AD63)/(SUM($AC61:$BG61))))))</f>
        <v xml:space="preserve"> </v>
      </c>
      <c r="AF64" s="48" t="str">
        <f>IF(AF63=0," ",IF(SUM($AC63:AF63)&gt;SUM($AC61:$BG61)," ",(3-(SUM($AC63:AE63)/(SUM($AC61:$BG61))))))</f>
        <v xml:space="preserve"> </v>
      </c>
      <c r="AG64" s="48" t="str">
        <f>IF(AG63=0," ",IF(SUM($AC63:AG63)&gt;SUM($AC61:$BG61)," ",(4-(SUM($AC63:AF63)/(SUM($AC61:$BG61))))))</f>
        <v xml:space="preserve"> </v>
      </c>
      <c r="AH64" s="48" t="str">
        <f>IF(AH63=0," ",IF(SUM($AC63:AH63)&gt;SUM($AC61:$BG61)," ",(5-(SUM($AC63:AG63)/(SUM($AC61:$BG61))))))</f>
        <v xml:space="preserve"> </v>
      </c>
      <c r="AI64" s="48" t="str">
        <f>IF(AI63=0," ",IF(SUM($AC63:AI63)&gt;SUM($AC61:$BG61)," ",(6-(SUM($AC63:AH63)/(SUM($AC61:$BG61))))))</f>
        <v xml:space="preserve"> </v>
      </c>
      <c r="AJ64" s="48" t="str">
        <f>IF(AJ63=0," ",IF(SUM($AC63:AJ63)&gt;SUM($AC61:$BG61)," ",(7-(SUM($AC63:AI63)/(SUM($AC61:$BG61))))))</f>
        <v xml:space="preserve"> </v>
      </c>
      <c r="AK64" s="48" t="str">
        <f>IF(AK63=0," ",IF(SUM($AC63:AK63)&gt;SUM($AC61:$BG61)," ",(8-(SUM($AC63:AJ63)/(SUM($AC61:$BG61))))))</f>
        <v xml:space="preserve"> </v>
      </c>
      <c r="AL64" s="48" t="str">
        <f>IF(AL63=0," ",IF(SUM($AC63:AL63)&gt;SUM($AC61:$BG61)," ",(9-(SUM($AC63:AK63)/(SUM($AC61:$BG61))))))</f>
        <v xml:space="preserve"> </v>
      </c>
      <c r="AM64" s="48" t="str">
        <f>IF(AM63=0," ",IF(SUM($AC63:AM63)&gt;SUM($AC61:$BG61)," ",(10-(SUM($AC63:AL63)/(SUM($AC61:$BG61))))))</f>
        <v xml:space="preserve"> </v>
      </c>
      <c r="AN64" s="48" t="str">
        <f>IF(AN63=0," ",IF(SUM($AC63:AN63)&gt;SUM($AC61:$BG61)," ",(11-(SUM($AC63:AM63)/(SUM($AC61:$BG61))))))</f>
        <v xml:space="preserve"> </v>
      </c>
      <c r="AO64" s="48" t="str">
        <f>IF(AO63=0," ",IF(SUM($AC63:AO63)&gt;SUM($AC61:$BG61)," ",(12-(SUM($AC63:AN63)/(SUM($AC61:$BG61))))))</f>
        <v xml:space="preserve"> </v>
      </c>
      <c r="AP64" s="48" t="str">
        <f>IF(AP63=0," ",IF(SUM($AC63:AP63)&gt;SUM($AC61:$BG61)," ",(13-(SUM($AC63:AO63)/(SUM($AC61:$BG61))))))</f>
        <v xml:space="preserve"> </v>
      </c>
      <c r="AQ64" s="48" t="str">
        <f>IF(AQ63=0," ",IF(SUM($AC63:AQ63)&gt;SUM($AC61:$BG61)," ",(14-(SUM($AC63:AP63)/(SUM($AC61:$BG61))))))</f>
        <v xml:space="preserve"> </v>
      </c>
      <c r="AR64" s="48" t="str">
        <f>IF(AR63=0," ",IF(SUM($AC63:AR63)&gt;SUM($AC61:$BG61)," ",(15-(SUM($AC63:AQ63)/(SUM($AC61:$BG61))))))</f>
        <v xml:space="preserve"> </v>
      </c>
      <c r="AS64" s="48" t="str">
        <f>IF(AS63=0," ",IF(SUM($AC63:AS63)&gt;SUM($AC61:$BG61)," ",(16-(SUM($AC63:AR63)/(SUM($AC61:$BG61))))))</f>
        <v xml:space="preserve"> </v>
      </c>
      <c r="AT64" s="48" t="str">
        <f>IF(AT63=0," ",IF(SUM($AC63:AT63)&gt;SUM($AC61:$BG61)," ",(17-(SUM($AC63:AS63)/(SUM($AC61:$BG61))))))</f>
        <v xml:space="preserve"> </v>
      </c>
      <c r="AU64" s="48" t="str">
        <f>IF(AU63=0," ",IF(SUM($AC63:AU63)&gt;SUM($AC61:$BG61)," ",(18-(SUM($AC63:AT63)/(SUM($AC61:$BG61))))))</f>
        <v xml:space="preserve"> </v>
      </c>
      <c r="AV64" s="48" t="str">
        <f>IF(AV63=0," ",IF(SUM($AC63:AV63)&gt;SUM($AC61:$BG61)," ",(19-(SUM($AC63:AU63)/(SUM($AC61:$BG61))))))</f>
        <v xml:space="preserve"> </v>
      </c>
      <c r="AW64" s="48" t="str">
        <f>IF(AW63=0," ",IF(SUM($AC63:AW63)&gt;SUM($AC61:$BG61)," ",(20-(SUM($AC63:AV63)/(SUM($AC61:$BG61))))))</f>
        <v xml:space="preserve"> </v>
      </c>
      <c r="AX64" s="48" t="str">
        <f>IF(AX63=0," ",IF(SUM($AC63:AX63)&gt;SUM($AC61:$BG61)," ",(21-(SUM($AC63:AW63)/(SUM($AC61:$BG61))))))</f>
        <v xml:space="preserve"> </v>
      </c>
      <c r="AY64" s="48" t="str">
        <f>IF(AY63=0," ",IF(SUM($AC63:AY63)&gt;SUM($AC61:$BG61)," ",(22-(SUM($AC63:AX63)/(SUM($AC61:$BG61))))))</f>
        <v xml:space="preserve"> </v>
      </c>
      <c r="AZ64" s="48" t="str">
        <f>IF(AZ63=0," ",IF(SUM($AC63:AZ63)&gt;SUM($AC61:$BG61)," ",(23-(SUM($AC63:AY63)/(SUM($AC61:$BG61))))))</f>
        <v xml:space="preserve"> </v>
      </c>
      <c r="BA64" s="48" t="str">
        <f>IF(BA63=0," ",IF(SUM($AC63:BA63)&gt;SUM($AC61:$BG61)," ",(24-(SUM($AC63:AZ63)/(SUM($AC61:$BG61))))))</f>
        <v xml:space="preserve"> </v>
      </c>
      <c r="BB64" s="48" t="str">
        <f>IF(BB63=0," ",IF(SUM($AC63:BB63)&gt;SUM($AC61:$BG61)," ",(25-(SUM($AC63:BA63)/(SUM($AC61:$BG61))))))</f>
        <v xml:space="preserve"> </v>
      </c>
      <c r="BC64" s="48" t="str">
        <f>IF(BC63=0," ",IF(SUM($AC63:BC63)&gt;SUM($AC61:$BG61)," ",(26-(SUM($AC63:BB63)/(SUM($AC61:$BG61))))))</f>
        <v xml:space="preserve"> </v>
      </c>
      <c r="BD64" s="48" t="str">
        <f>IF(BD63=0," ",IF(SUM($AC63:BD63)&gt;SUM($AC61:$BG61)," ",(27-(SUM($AC63:BC63)/(SUM($AC61:$BG61))))))</f>
        <v xml:space="preserve"> </v>
      </c>
      <c r="BE64" s="48" t="str">
        <f>IF(BE63=0," ",IF(SUM($AC63:BE63)&gt;SUM($AC61:$BG61)," ",(28-(SUM($AC63:BD63)/(SUM($AC61:$BG61))))))</f>
        <v xml:space="preserve"> </v>
      </c>
      <c r="BF64" s="48" t="str">
        <f>IF(BF63=0," ",IF(SUM($AC63:BF63)&gt;SUM($AC61:$BG61)," ",(29-(SUM($AC63:BE63)/(SUM($AC61:$BG61))))))</f>
        <v xml:space="preserve"> </v>
      </c>
      <c r="BG64" s="48" t="str">
        <f>IF(BG63=0," ",IF(SUM($AC63:BG63)&gt;SUM($AC61:$BG61)," ",(30-(SUM($AC63:BF63)/(SUM($AC61:$BG61))))))</f>
        <v xml:space="preserve"> </v>
      </c>
      <c r="BH64" s="21"/>
    </row>
    <row r="65" spans="2:60" ht="16.2" thickBot="1" x14ac:dyDescent="0.35">
      <c r="B65" s="70"/>
      <c r="C65" s="79"/>
      <c r="D65" s="84"/>
      <c r="E65" s="57"/>
      <c r="F65" s="117"/>
      <c r="H65" s="49" t="str">
        <f>IF(H61= " ", " ",IF(H63&gt;SUM($H61:$BG61), " N/A", IF(SUM($H63:$BG63)=SUM($H61:BG61), " ", IF(H63=SUM($H61:BG61), " ", "x"))))</f>
        <v xml:space="preserve"> </v>
      </c>
      <c r="I65" s="50" t="str">
        <f>IF(SUM($H63:I63) &gt; SUM($H61:I61),  " N/A", IF(SUM($H63:$BG63) = SUM($H61:$BH61),    " ",IF(I63 = SUM($H61:$BH61),  " ",   "x")))</f>
        <v xml:space="preserve"> </v>
      </c>
      <c r="J65" s="50" t="str">
        <f>IF(SUM($H63:J63) &gt; SUM($H61:J61),  " N/A", IF(SUM($H63:$BG63) = SUM($H61:$BH61),    " ",IF(J63 = SUM($H61:$BH61),  " ",   "x")))</f>
        <v xml:space="preserve"> </v>
      </c>
      <c r="K65" s="50" t="str">
        <f>IF(SUM($H63:K63) &gt; SUM($H61:K61),  " N/A", IF(SUM($H63:$BG63) = SUM($H61:$BH61),    " ",IF(K63 = SUM($H61:$BH61),  " ",   "x")))</f>
        <v xml:space="preserve"> </v>
      </c>
      <c r="L65" s="50" t="str">
        <f>IF(L61= " ", " ",IF(L63&gt;SUM($H61:$BG61), " N/A", IF(SUM($H63:$BG63)=SUM($H51:BH51), " ", IF(L63=SUM($H51:BH51), " ", "x"))))</f>
        <v xml:space="preserve"> </v>
      </c>
      <c r="M65" s="50" t="str">
        <f>IF(M61= " ", " ",IF(M63&gt;SUM($H61:$BG61), " N/A", IF(SUM($H63:$BG63)=SUM($H51:BH51), " ", IF(M63=SUM($H51:BH51), " ", "x"))))</f>
        <v xml:space="preserve"> </v>
      </c>
      <c r="N65" s="50" t="str">
        <f>IF(N61= " ", " ",IF(N63&gt;SUM($H61:$BG61), " N/A", IF(SUM($H63:$BG63)=SUM($H51:BI51), " ", IF(N63=SUM($H51:BI51), " ", "x"))))</f>
        <v xml:space="preserve"> </v>
      </c>
      <c r="O65" s="50" t="str">
        <f>IF(O61= " ", " ",IF(O63&gt;SUM($H61:$BG61), " N/A", IF(SUM($H63:$BG63)=SUM($H51:BJ51), " ", IF(O63=SUM($H51:BJ51), " ", "x"))))</f>
        <v xml:space="preserve"> </v>
      </c>
      <c r="P65" s="50" t="str">
        <f>IF(P61= " ", " ",IF(P63&gt;SUM($H61:$BG61), " N/A", IF(SUM($H63:$BG63)=SUM($H51:BK51), " ", IF(P63=SUM($H51:BK51), " ", "x"))))</f>
        <v xml:space="preserve"> </v>
      </c>
      <c r="Q65" s="50" t="str">
        <f>IF(Q61= " ", " ",IF(Q63&gt;SUM($H61:$BG61), " N/A", IF(SUM($H63:$BG63)=SUM($H51:BL51), " ", IF(Q63=SUM($H51:BL51), " ", "x"))))</f>
        <v xml:space="preserve"> </v>
      </c>
      <c r="R65" s="50" t="str">
        <f>IF(R61= " ", " ",IF(R63&gt;SUM($H61:$BG61), " N/A", IF(SUM($H63:$BG63)=SUM($H51:BM51), " ", IF(R63=SUM($H51:BM51), " ", "x"))))</f>
        <v xml:space="preserve"> </v>
      </c>
      <c r="S65" s="50" t="str">
        <f>IF(S61= " ", " ",IF(S63&gt;SUM($H61:$BG61), " N/A", IF(SUM($H63:$BG63)=SUM($H51:BN51), " ", IF(S63=SUM($H51:BN51), " ", "x"))))</f>
        <v xml:space="preserve"> </v>
      </c>
      <c r="T65" s="50" t="str">
        <f>IF(T61= " ", " ",IF(T63&gt;SUM($H61:$BG61), " N/A", IF(SUM($H63:$BG63)=SUM($H51:BO51), " ", IF(T63=SUM($H51:BO51), " ", "x"))))</f>
        <v xml:space="preserve"> </v>
      </c>
      <c r="U65" s="50" t="str">
        <f>IF(U61= " ", " ",IF(U63&gt;SUM($H61:$BG61), " N/A", IF(SUM($H63:$BG63)=SUM($H51:BP51), " ", IF(U63=SUM($H51:BP51), " ", "x"))))</f>
        <v xml:space="preserve"> </v>
      </c>
      <c r="V65" s="50" t="str">
        <f>IF(V61= " ", " ",IF(V63&gt;SUM($H61:$BG61), " N/A", IF(SUM($H63:$BG63)=SUM($H51:BQ51), " ", IF(V63=SUM($H51:BQ51), " ", "x"))))</f>
        <v xml:space="preserve"> </v>
      </c>
      <c r="W65" s="50" t="str">
        <f>IF(W61= " ", " ",IF(W63&gt;SUM($H61:$BG61), " N/A", IF(SUM($H63:$BG63)=SUM($H51:BR51), " ", IF(W63=SUM($H51:BR51), " ", "x"))))</f>
        <v xml:space="preserve"> </v>
      </c>
      <c r="X65" s="50" t="str">
        <f>IF(X61= " ", " ",IF(X63&gt;SUM($H61:$BG61), " N/A", IF(SUM($H63:$BG63)=SUM($H51:BS51), " ", IF(X63=SUM($H51:BS51), " ", "x"))))</f>
        <v xml:space="preserve"> </v>
      </c>
      <c r="Y65" s="50" t="str">
        <f>IF(Y61= " ", " ",IF(Y63&gt;SUM($H61:$BG61), " N/A", IF(SUM($H63:$BG63)=SUM($H51:BT51), " ", IF(Y63=SUM($H51:BT51), " ", "x"))))</f>
        <v xml:space="preserve"> </v>
      </c>
      <c r="Z65" s="50" t="str">
        <f>IF(Z61= " ", " ",IF(Z63&gt;SUM($H61:$BG61), " N/A", IF(SUM($H63:$BG63)=SUM($H51:BU51), " ", IF(Z63=SUM($H51:BU51), " ", "x"))))</f>
        <v xml:space="preserve"> </v>
      </c>
      <c r="AA65" s="50" t="str">
        <f>IF(AA61= " ", " ",IF(AA63&gt;SUM($H61:$BG61), " N/A", IF(SUM($H63:$BG63)=SUM($H51:BV51), " ", IF(AA63=SUM($H51:BV51), " ", "x"))))</f>
        <v xml:space="preserve"> </v>
      </c>
      <c r="AB65" s="50" t="str">
        <f>IF(AB61= " ", " ",IF(AB63&gt;SUM($H61:$BG61), " N/A", IF(SUM($H63:$BG63)=SUM($H51:BW51), " ", IF(AB63=SUM($H51:BW51), " ", "x"))))</f>
        <v xml:space="preserve"> </v>
      </c>
      <c r="AC65" s="50" t="str">
        <f>IF(AC61= " ", " ",IF(AC63&gt;SUM($H61:$BG61), " N/A", IF(SUM($H63:$BG63)=SUM($H51:BX51), " ", IF(AC63=SUM($H51:BX51), " ", "x"))))</f>
        <v xml:space="preserve"> </v>
      </c>
      <c r="AD65" s="50" t="str">
        <f>IF(AD61= " ", " ",IF(AD63&gt;SUM($H61:$BG61), " N/A", IF(SUM($H63:$BG63)=SUM($H51:BY51), " ", IF(AD63=SUM($H51:BY51), " ", "x"))))</f>
        <v xml:space="preserve"> </v>
      </c>
      <c r="AE65" s="50" t="str">
        <f>IF(AE61= " ", " ",IF(AE63&gt;SUM($H61:$BG61), " N/A", IF(SUM($H63:$BG63)=SUM($H51:BZ51), " ", IF(AE63=SUM($H51:BZ51), " ", "x"))))</f>
        <v xml:space="preserve"> </v>
      </c>
      <c r="AF65" s="50" t="str">
        <f>IF(AF61= " ", " ",IF(AF63&gt;SUM($H61:$BG61), " N/A", IF(SUM($H63:$BG63)=SUM($H51:CA51), " ", IF(AF63=SUM($H51:CA51), " ", "x"))))</f>
        <v xml:space="preserve"> </v>
      </c>
      <c r="AG65" s="50" t="str">
        <f>IF(AG61= " ", " ",IF(AG63&gt;SUM($H61:$BG61), " N/A", IF(SUM($H63:$BG63)=SUM($H51:CB51), " ", IF(AG63=SUM($H51:CB51), " ", "x"))))</f>
        <v xml:space="preserve"> </v>
      </c>
      <c r="AH65" s="50" t="str">
        <f>IF(AH61= " ", " ",IF(AH63&gt;SUM($H61:$BG61), " N/A", IF(SUM($H63:$BG63)=SUM($H51:CC51), " ", IF(AH63=SUM($H51:CC51), " ", "x"))))</f>
        <v xml:space="preserve"> </v>
      </c>
      <c r="AI65" s="50" t="str">
        <f>IF(AI61= " ", " ",IF(AI63&gt;SUM($H61:$BG61), " N/A", IF(SUM($H63:$BG63)=SUM($H51:CD51), " ", IF(AI63=SUM($H51:CD51), " ", "x"))))</f>
        <v xml:space="preserve"> </v>
      </c>
      <c r="AJ65" s="50" t="str">
        <f>IF(AJ61= " ", " ",IF(AJ63&gt;SUM($H61:$BG61), " N/A", IF(SUM($H63:$BG63)=SUM($H51:CE51), " ", IF(AJ63=SUM($H51:CE51), " ", "x"))))</f>
        <v xml:space="preserve"> </v>
      </c>
      <c r="AK65" s="50" t="str">
        <f>IF(AK61= " ", " ",IF(AK63&gt;SUM($H61:$BG61), " N/A", IF(SUM($H63:$BG63)=SUM($H51:CF51), " ", IF(AK63=SUM($H51:CF51), " ", "x"))))</f>
        <v xml:space="preserve"> </v>
      </c>
      <c r="AL65" s="50" t="str">
        <f>IF(AL61= " ", " ",IF(AL63&gt;SUM($H61:$BG61), " N/A", IF(SUM($H63:$BG63)=SUM($H51:CG51), " ", IF(AL63=SUM($H51:CG51), " ", "x"))))</f>
        <v xml:space="preserve"> </v>
      </c>
      <c r="AM65" s="50" t="str">
        <f>IF(AM61= " ", " ",IF(AM63&gt;SUM($H61:$BG61), " N/A", IF(SUM($H63:$BG63)=SUM($H51:CH51), " ", IF(AM63=SUM($H51:CH51), " ", "x"))))</f>
        <v xml:space="preserve"> </v>
      </c>
      <c r="AN65" s="50" t="str">
        <f>IF(AN61= " ", " ",IF(AN63&gt;SUM($H61:$BG61), " N/A", IF(SUM($H63:$BG63)=SUM($H51:CI51), " ", IF(AN63=SUM($H51:CI51), " ", "x"))))</f>
        <v xml:space="preserve"> </v>
      </c>
      <c r="AO65" s="50" t="str">
        <f>IF(AO61= " ", " ",IF(AO63&gt;SUM($H61:$BG61), " N/A", IF(SUM($H63:$BG63)=SUM($H51:CJ51), " ", IF(AO63=SUM($H51:CJ51), " ", "x"))))</f>
        <v xml:space="preserve"> </v>
      </c>
      <c r="AP65" s="50" t="str">
        <f>IF(AP61= " ", " ",IF(AP63&gt;SUM($H61:$BG61), " N/A", IF(SUM($H63:$BG63)=SUM($H51:CK51), " ", IF(AP63=SUM($H51:CK51), " ", "x"))))</f>
        <v xml:space="preserve"> </v>
      </c>
      <c r="AQ65" s="50" t="str">
        <f>IF(AQ61= " ", " ",IF(AQ63&gt;SUM($H61:$BG61), " N/A", IF(SUM($H63:$BG63)=SUM($H51:CL51), " ", IF(AQ63=SUM($H51:CL51), " ", "x"))))</f>
        <v xml:space="preserve"> </v>
      </c>
      <c r="AR65" s="50" t="str">
        <f>IF(AR61= " ", " ",IF(AR63&gt;SUM($H61:$BG61), " N/A", IF(SUM($H63:$BG63)=SUM($H51:CM51), " ", IF(AR63=SUM($H51:CM51), " ", "x"))))</f>
        <v xml:space="preserve"> </v>
      </c>
      <c r="AS65" s="50" t="str">
        <f>IF(AS61= " ", " ",IF(AS63&gt;SUM($H61:$BG61), " N/A", IF(SUM($H63:$BG63)=SUM($H51:CN51), " ", IF(AS63=SUM($H51:CN51), " ", "x"))))</f>
        <v xml:space="preserve"> </v>
      </c>
      <c r="AT65" s="50" t="str">
        <f>IF(AT61= " ", " ",IF(AT63&gt;SUM($H61:$BG61), " N/A", IF(SUM($H63:$BG63)=SUM($H51:CO51), " ", IF(AT63=SUM($H51:CO51), " ", "x"))))</f>
        <v xml:space="preserve"> </v>
      </c>
      <c r="AU65" s="50" t="str">
        <f>IF(AU61= " ", " ",IF(AU63&gt;SUM($H61:$BG61), " N/A", IF(SUM($H63:$BG63)=SUM($H51:CP51), " ", IF(AU63=SUM($H51:CP51), " ", "x"))))</f>
        <v xml:space="preserve"> </v>
      </c>
      <c r="AV65" s="50" t="str">
        <f>IF(AV61= " ", " ",IF(AV63&gt;SUM($H61:$BG61), " N/A", IF(SUM($H63:$BG63)=SUM($H51:CQ51), " ", IF(AV63=SUM($H51:CQ51), " ", "x"))))</f>
        <v xml:space="preserve"> </v>
      </c>
      <c r="AW65" s="50" t="str">
        <f>IF(AW61= " ", " ",IF(AW63&gt;SUM($H61:$BG61), " N/A", IF(SUM($H63:$BG63)=SUM($H51:CR51), " ", IF(AW63=SUM($H51:CR51), " ", "x"))))</f>
        <v xml:space="preserve"> </v>
      </c>
      <c r="AX65" s="50" t="str">
        <f>IF(AX61= " ", " ",IF(AX63&gt;SUM($H61:$BG61), " N/A", IF(SUM($H63:$BG63)=SUM($H51:CS51), " ", IF(AX63=SUM($H51:CS51), " ", "x"))))</f>
        <v xml:space="preserve"> </v>
      </c>
      <c r="AY65" s="50" t="str">
        <f>IF(AY61= " ", " ",IF(AY63&gt;SUM($H61:$BG61), " N/A", IF(SUM($H63:$BG63)=SUM($H51:CT51), " ", IF(AY63=SUM($H51:CT51), " ", "x"))))</f>
        <v xml:space="preserve"> </v>
      </c>
      <c r="AZ65" s="50" t="str">
        <f>IF(AZ61= " ", " ",IF(AZ63&gt;SUM($H61:$BG61), " N/A", IF(SUM($H63:$BG63)=SUM($H51:CU51), " ", IF(AZ63=SUM($H51:CU51), " ", "x"))))</f>
        <v xml:space="preserve"> </v>
      </c>
      <c r="BA65" s="50" t="str">
        <f>IF(BA61= " ", " ",IF(BA63&gt;SUM($H61:$BG61), " N/A", IF(SUM($H63:$BG63)=SUM($H51:CV51), " ", IF(BA63=SUM($H51:CV51), " ", "x"))))</f>
        <v xml:space="preserve"> </v>
      </c>
      <c r="BB65" s="50" t="str">
        <f>IF(BB61= " ", " ",IF(BB63&gt;SUM($H61:$BG61), " N/A", IF(SUM($H63:$BG63)=SUM($H51:CW51), " ", IF(BB63=SUM($H51:CW51), " ", "x"))))</f>
        <v xml:space="preserve"> </v>
      </c>
      <c r="BC65" s="50" t="str">
        <f>IF(BC61= " ", " ",IF(BC63&gt;SUM($H61:$BG61), " N/A", IF(SUM($H63:$BG63)=SUM($H51:CX51), " ", IF(BC63=SUM($H51:CX51), " ", "x"))))</f>
        <v xml:space="preserve"> </v>
      </c>
      <c r="BD65" s="50" t="str">
        <f>IF(BD61= " ", " ",IF(BD63&gt;SUM($H61:$BG61), " N/A", IF(SUM($H63:$BG63)=SUM($H51:CY51), " ", IF(BD63=SUM($H51:CY51), " ", "x"))))</f>
        <v xml:space="preserve"> </v>
      </c>
      <c r="BE65" s="50" t="str">
        <f>IF(BE61= " ", " ",IF(BE63&gt;SUM($H61:$BG61), " N/A", IF(SUM($H63:$BG63)=SUM($H51:CZ51), " ", IF(BE63=SUM($H51:CZ51), " ", "x"))))</f>
        <v xml:space="preserve"> </v>
      </c>
      <c r="BF65" s="50" t="str">
        <f>IF(BF61= " ", " ",IF(BF63&gt;SUM($H61:$BG61), " N/A", IF(SUM($H63:$BG63)=SUM($H51:DA51), " ", IF(BF63=SUM($H51:DA51), " ", "x"))))</f>
        <v xml:space="preserve"> </v>
      </c>
      <c r="BG65" s="50" t="str">
        <f>IF(BG61= " ", " ",IF(BG63&gt;SUM($H61:$BG61), " N/A", IF(SUM($H63:$BG63)=SUM($H51:DB51), " ", IF(BG63=SUM($H51:DB51), " ", "x"))))</f>
        <v xml:space="preserve"> </v>
      </c>
      <c r="BH65" s="21"/>
    </row>
    <row r="66" spans="2:60" ht="15.6" x14ac:dyDescent="0.3">
      <c r="B66" s="71"/>
      <c r="C66" s="77"/>
      <c r="D66" s="82" t="s">
        <v>249</v>
      </c>
      <c r="E66" s="54">
        <f>SUM(H66:BG66)</f>
        <v>0</v>
      </c>
      <c r="F66" s="115">
        <f>Gant_24!$E66-E68</f>
        <v>0</v>
      </c>
      <c r="H66" s="41"/>
      <c r="I66" s="42"/>
      <c r="J66" s="42"/>
      <c r="K66" s="42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>
        <v>0</v>
      </c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  <c r="BC66" s="51"/>
      <c r="BD66" s="51"/>
      <c r="BE66" s="51"/>
      <c r="BF66" s="51"/>
      <c r="BG66" s="51"/>
      <c r="BH66" s="21"/>
    </row>
    <row r="67" spans="2:60" ht="15.6" x14ac:dyDescent="0.3">
      <c r="B67" s="68"/>
      <c r="C67" s="78"/>
      <c r="D67" s="83" t="s">
        <v>261</v>
      </c>
      <c r="E67" s="55">
        <f>SUM(H67:BG67)</f>
        <v>0</v>
      </c>
      <c r="F67" s="116"/>
      <c r="H67" s="43"/>
      <c r="I67" s="44"/>
      <c r="J67" s="44"/>
      <c r="K67" s="44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  <c r="AD67" s="50"/>
      <c r="AE67" s="50"/>
      <c r="AF67" s="50"/>
      <c r="AG67" s="50"/>
      <c r="AH67" s="50"/>
      <c r="AI67" s="50"/>
      <c r="AJ67" s="50"/>
      <c r="AK67" s="50"/>
      <c r="AL67" s="50"/>
      <c r="AM67" s="50"/>
      <c r="AN67" s="50"/>
      <c r="AO67" s="50"/>
      <c r="AP67" s="50"/>
      <c r="AQ67" s="50"/>
      <c r="AR67" s="50"/>
      <c r="AS67" s="50"/>
      <c r="AT67" s="50"/>
      <c r="AU67" s="50"/>
      <c r="AV67" s="50"/>
      <c r="AW67" s="50"/>
      <c r="AX67" s="50"/>
      <c r="AY67" s="50"/>
      <c r="AZ67" s="50"/>
      <c r="BA67" s="50"/>
      <c r="BB67" s="50"/>
      <c r="BC67" s="50"/>
      <c r="BD67" s="50"/>
      <c r="BE67" s="50"/>
      <c r="BF67" s="50"/>
      <c r="BG67" s="50"/>
      <c r="BH67" s="21"/>
    </row>
    <row r="68" spans="2:60" ht="15.6" x14ac:dyDescent="0.3">
      <c r="B68" s="68" t="s">
        <v>80</v>
      </c>
      <c r="C68" s="78" t="s">
        <v>81</v>
      </c>
      <c r="D68" s="83" t="s">
        <v>241</v>
      </c>
      <c r="E68" s="55">
        <f>SUM(H68:BG68)</f>
        <v>0</v>
      </c>
      <c r="F68" s="116"/>
      <c r="H68" s="45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6"/>
      <c r="AR68" s="46"/>
      <c r="AS68" s="46"/>
      <c r="AT68" s="46"/>
      <c r="AU68" s="46"/>
      <c r="AV68" s="46"/>
      <c r="AW68" s="46"/>
      <c r="AX68" s="46"/>
      <c r="AY68" s="46"/>
      <c r="AZ68" s="46"/>
      <c r="BA68" s="46"/>
      <c r="BB68" s="46"/>
      <c r="BC68" s="46"/>
      <c r="BD68" s="46"/>
      <c r="BE68" s="46"/>
      <c r="BF68" s="46"/>
      <c r="BG68" s="46"/>
      <c r="BH68" s="21"/>
    </row>
    <row r="69" spans="2:60" ht="15.6" x14ac:dyDescent="0.3">
      <c r="B69" s="68"/>
      <c r="C69" s="78"/>
      <c r="D69" s="83" t="s">
        <v>278</v>
      </c>
      <c r="E69" s="56">
        <f>MAX(H69:BG69)</f>
        <v>0</v>
      </c>
      <c r="F69" s="116"/>
      <c r="H69" s="47"/>
      <c r="I69" s="48"/>
      <c r="J69" s="48"/>
      <c r="K69" s="48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48"/>
      <c r="AB69" s="48"/>
      <c r="AC69" s="48" t="str">
        <f>IF(SUM(H66:BG66) = AC68, " 0 ", " ")</f>
        <v xml:space="preserve"> 0 </v>
      </c>
      <c r="AD69" s="48" t="str">
        <f>IF(AD68=0," ",IF(SUM($AC68:AD68)&gt;SUM($AC66:$BG66)," ",(1-(SUM($AC68:AC68)/(SUM($AC66:$BG66))))))</f>
        <v xml:space="preserve"> </v>
      </c>
      <c r="AE69" s="48" t="str">
        <f>IF(AE68=0," ",IF(SUM($AC68:AE68)&gt;SUM($AC66:$BG66)," ",(2-(SUM($AC68:AD68)/(SUM($AC66:$BG66))))))</f>
        <v xml:space="preserve"> </v>
      </c>
      <c r="AF69" s="48" t="str">
        <f>IF(AF68=0," ",IF(SUM($AC68:AF68)&gt;SUM($AC66:$BG66)," ",(3-(SUM($AC68:AE68)/(SUM($AC66:$BG66))))))</f>
        <v xml:space="preserve"> </v>
      </c>
      <c r="AG69" s="48" t="str">
        <f>IF(AG68=0," ",IF(SUM($AC68:AG68)&gt;SUM($AC66:$BG66)," ",(4-(SUM($AC68:AF68)/(SUM($AC66:$BG66))))))</f>
        <v xml:space="preserve"> </v>
      </c>
      <c r="AH69" s="48" t="str">
        <f>IF(AH68=0," ",IF(SUM($AC68:AH68)&gt;SUM($AC66:$BG66)," ",(5-(SUM($AC68:AG68)/(SUM($AC66:$BG66))))))</f>
        <v xml:space="preserve"> </v>
      </c>
      <c r="AI69" s="48" t="str">
        <f>IF(AI68=0," ",IF(SUM($AC68:AI68)&gt;SUM($AC66:$BG66)," ",(6-(SUM($AC68:AH68)/(SUM($AC66:$BG66))))))</f>
        <v xml:space="preserve"> </v>
      </c>
      <c r="AJ69" s="48" t="str">
        <f>IF(AJ68=0," ",IF(SUM($AC68:AJ68)&gt;SUM($AC66:$BG66)," ",(7-(SUM($AC68:AI68)/(SUM($AC66:$BG66))))))</f>
        <v xml:space="preserve"> </v>
      </c>
      <c r="AK69" s="48" t="str">
        <f>IF(AK68=0," ",IF(SUM($AC68:AK68)&gt;SUM($AC66:$BG66)," ",(8-(SUM($AC68:AJ68)/(SUM($AC66:$BG66))))))</f>
        <v xml:space="preserve"> </v>
      </c>
      <c r="AL69" s="48" t="str">
        <f>IF(AL68=0," ",IF(SUM($AC68:AL68)&gt;SUM($AC66:$BG66)," ",(9-(SUM($AC68:AK68)/(SUM($AC66:$BG66))))))</f>
        <v xml:space="preserve"> </v>
      </c>
      <c r="AM69" s="48" t="str">
        <f>IF(AM68=0," ",IF(SUM($AC68:AM68)&gt;SUM($AC66:$BG66)," ",(10-(SUM($AC68:AL68)/(SUM($AC66:$BG66))))))</f>
        <v xml:space="preserve"> </v>
      </c>
      <c r="AN69" s="48" t="str">
        <f>IF(AN68=0," ",IF(SUM($AC68:AN68)&gt;SUM($AC66:$BG66)," ",(11-(SUM($AC68:AM68)/(SUM($AC66:$BG66))))))</f>
        <v xml:space="preserve"> </v>
      </c>
      <c r="AO69" s="48" t="str">
        <f>IF(AO68=0," ",IF(SUM($AC68:AO68)&gt;SUM($AC66:$BG66)," ",(12-(SUM($AC68:AN68)/(SUM($AC66:$BG66))))))</f>
        <v xml:space="preserve"> </v>
      </c>
      <c r="AP69" s="48" t="str">
        <f>IF(AP68=0," ",IF(SUM($AC68:AP68)&gt;SUM($AC66:$BG66)," ",(13-(SUM($AC68:AO68)/(SUM($AC66:$BG66))))))</f>
        <v xml:space="preserve"> </v>
      </c>
      <c r="AQ69" s="48" t="str">
        <f>IF(AQ68=0," ",IF(SUM($AC68:AQ68)&gt;SUM($AC66:$BG66)," ",(14-(SUM($AC68:AP68)/(SUM($AC66:$BG66))))))</f>
        <v xml:space="preserve"> </v>
      </c>
      <c r="AR69" s="48" t="str">
        <f>IF(AR68=0," ",IF(SUM($AC68:AR68)&gt;SUM($AC66:$BG66)," ",(15-(SUM($AC68:AQ68)/(SUM($AC66:$BG66))))))</f>
        <v xml:space="preserve"> </v>
      </c>
      <c r="AS69" s="48" t="str">
        <f>IF(AS68=0," ",IF(SUM($AC68:AS68)&gt;SUM($AC66:$BG66)," ",(16-(SUM($AC68:AR68)/(SUM($AC66:$BG66))))))</f>
        <v xml:space="preserve"> </v>
      </c>
      <c r="AT69" s="48" t="str">
        <f>IF(AT68=0," ",IF(SUM($AC68:AT68)&gt;SUM($AC66:$BG66)," ",(17-(SUM($AC68:AS68)/(SUM($AC66:$BG66))))))</f>
        <v xml:space="preserve"> </v>
      </c>
      <c r="AU69" s="48" t="str">
        <f>IF(AU68=0," ",IF(SUM($AC68:AU68)&gt;SUM($AC66:$BG66)," ",(18-(SUM($AC68:AT68)/(SUM($AC66:$BG66))))))</f>
        <v xml:space="preserve"> </v>
      </c>
      <c r="AV69" s="48" t="str">
        <f>IF(AV68=0," ",IF(SUM($AC68:AV68)&gt;SUM($AC66:$BG66)," ",(19-(SUM($AC68:AU68)/(SUM($AC66:$BG66))))))</f>
        <v xml:space="preserve"> </v>
      </c>
      <c r="AW69" s="48" t="str">
        <f>IF(AW68=0," ",IF(SUM($AC68:AW68)&gt;SUM($AC66:$BG66)," ",(20-(SUM($AC68:AV68)/(SUM($AC66:$BG66))))))</f>
        <v xml:space="preserve"> </v>
      </c>
      <c r="AX69" s="48" t="str">
        <f>IF(AX68=0," ",IF(SUM($AC68:AX68)&gt;SUM($AC66:$BG66)," ",(21-(SUM($AC68:AW68)/(SUM($AC66:$BG66))))))</f>
        <v xml:space="preserve"> </v>
      </c>
      <c r="AY69" s="48" t="str">
        <f>IF(AY68=0," ",IF(SUM($AC68:AY68)&gt;SUM($AC66:$BG66)," ",(22-(SUM($AC68:AX68)/(SUM($AC66:$BG66))))))</f>
        <v xml:space="preserve"> </v>
      </c>
      <c r="AZ69" s="48" t="str">
        <f>IF(AZ68=0," ",IF(SUM($AC68:AZ68)&gt;SUM($AC66:$BG66)," ",(23-(SUM($AC68:AY68)/(SUM($AC66:$BG66))))))</f>
        <v xml:space="preserve"> </v>
      </c>
      <c r="BA69" s="48" t="str">
        <f>IF(BA68=0," ",IF(SUM($AC68:BA68)&gt;SUM($AC66:$BG66)," ",(24-(SUM($AC68:AZ68)/(SUM($AC66:$BG66))))))</f>
        <v xml:space="preserve"> </v>
      </c>
      <c r="BB69" s="48" t="str">
        <f>IF(BB68=0," ",IF(SUM($AC68:BB68)&gt;SUM($AC66:$BG66)," ",(25-(SUM($AC68:BA68)/(SUM($AC66:$BG66))))))</f>
        <v xml:space="preserve"> </v>
      </c>
      <c r="BC69" s="48" t="str">
        <f>IF(BC68=0," ",IF(SUM($AC68:BC68)&gt;SUM($AC66:$BG66)," ",(26-(SUM($AC68:BB68)/(SUM($AC66:$BG66))))))</f>
        <v xml:space="preserve"> </v>
      </c>
      <c r="BD69" s="48" t="str">
        <f>IF(BD68=0," ",IF(SUM($AC68:BD68)&gt;SUM($AC66:$BG66)," ",(27-(SUM($AC68:BC68)/(SUM($AC66:$BG66))))))</f>
        <v xml:space="preserve"> </v>
      </c>
      <c r="BE69" s="48" t="str">
        <f>IF(BE68=0," ",IF(SUM($AC68:BE68)&gt;SUM($AC66:$BG66)," ",(28-(SUM($AC68:BD68)/(SUM($AC66:$BG66))))))</f>
        <v xml:space="preserve"> </v>
      </c>
      <c r="BF69" s="48" t="str">
        <f>IF(BF68=0," ",IF(SUM($AC68:BF68)&gt;SUM($AC66:$BG66)," ",(29-(SUM($AC68:BE68)/(SUM($AC66:$BG66))))))</f>
        <v xml:space="preserve"> </v>
      </c>
      <c r="BG69" s="48" t="str">
        <f>IF(BG68=0," ",IF(SUM($AC68:BG68)&gt;SUM($AC66:$BG66)," ",(30-(SUM($AC68:BF68)/(SUM($AC66:$BG66))))))</f>
        <v xml:space="preserve"> </v>
      </c>
      <c r="BH69" s="21"/>
    </row>
    <row r="70" spans="2:60" ht="16.2" thickBot="1" x14ac:dyDescent="0.35">
      <c r="B70" s="70"/>
      <c r="C70" s="79"/>
      <c r="D70" s="84"/>
      <c r="E70" s="57"/>
      <c r="F70" s="117"/>
      <c r="H70" s="49" t="str">
        <f>IF(H66= " ", " ",IF(H68&gt;SUM($H66:$BG66), " N/A", IF(SUM($H68:$BG68)=SUM($H66:BG66), " ", IF(H68=SUM($H66:BG66), " ", "x"))))</f>
        <v xml:space="preserve"> </v>
      </c>
      <c r="I70" s="50" t="str">
        <f>IF(SUM($H68:I68) &gt; SUM($H66:I66),  " N/A", IF(SUM($H68:$BG68) = SUM($H66:$BH66),    " ",IF(I68 = SUM($H66:$BH66),  " ",   "x")))</f>
        <v xml:space="preserve"> </v>
      </c>
      <c r="J70" s="50" t="str">
        <f>IF(SUM($H68:J68) &gt; SUM($H66:J66),  " N/A", IF(SUM($H68:$BG68) = SUM($H66:$BH66),    " ",IF(J68 = SUM($H66:$BH66),  " ",   "x")))</f>
        <v xml:space="preserve"> </v>
      </c>
      <c r="K70" s="50" t="str">
        <f>IF(SUM($H68:K68) &gt; SUM($H66:K66),  " N/A", IF(SUM($H68:$BG68) = SUM($H66:$BH66),    " ",IF(K68 = SUM($H66:$BH66),  " ",   "x")))</f>
        <v xml:space="preserve"> </v>
      </c>
      <c r="L70" s="44" t="str">
        <f>IF(L66= " ", " ",IF(L68&gt;SUM($H66:$BG66), " N/A", IF(SUM($H68:$BG68)=SUM($H55:BH55), " ", IF(L68=SUM($H55:BH55), " ", "x"))))</f>
        <v xml:space="preserve"> </v>
      </c>
      <c r="M70" s="44" t="str">
        <f>IF(M66= " ", " ",IF(M68&gt;SUM($H66:$BG66), " N/A", IF(SUM($H68:$BG68)=SUM($H55:BH55), " ", IF(M68=SUM($H55:BH55), " ", "x"))))</f>
        <v xml:space="preserve"> </v>
      </c>
      <c r="N70" s="44" t="str">
        <f>IF(N66= " ", " ",IF(N68&gt;SUM($H66:$BG66), " N/A", IF(SUM($H68:$BG68)=SUM($H55:BI55), " ", IF(N68=SUM($H55:BI55), " ", "x"))))</f>
        <v xml:space="preserve"> </v>
      </c>
      <c r="O70" s="44" t="str">
        <f>IF(O66= " ", " ",IF(O68&gt;SUM($H66:$BG66), " N/A", IF(SUM($H68:$BG68)=SUM($H55:BJ55), " ", IF(O68=SUM($H55:BJ55), " ", "x"))))</f>
        <v xml:space="preserve"> </v>
      </c>
      <c r="P70" s="44" t="str">
        <f>IF(P66= " ", " ",IF(P68&gt;SUM($H66:$BG66), " N/A", IF(SUM($H68:$BG68)=SUM($H55:BK55), " ", IF(P68=SUM($H55:BK55), " ", "x"))))</f>
        <v xml:space="preserve"> </v>
      </c>
      <c r="Q70" s="44" t="str">
        <f>IF(Q66= " ", " ",IF(Q68&gt;SUM($H66:$BG66), " N/A", IF(SUM($H68:$BG68)=SUM($H55:BL55), " ", IF(Q68=SUM($H55:BL55), " ", "x"))))</f>
        <v xml:space="preserve"> </v>
      </c>
      <c r="R70" s="44" t="str">
        <f>IF(R66= " ", " ",IF(R68&gt;SUM($H66:$BG66), " N/A", IF(SUM($H68:$BG68)=SUM($H55:BM55), " ", IF(R68=SUM($H55:BM55), " ", "x"))))</f>
        <v xml:space="preserve"> </v>
      </c>
      <c r="S70" s="44" t="str">
        <f>IF(S66= " ", " ",IF(S68&gt;SUM($H66:$BG66), " N/A", IF(SUM($H68:$BG68)=SUM($H55:BN55), " ", IF(S68=SUM($H55:BN55), " ", "x"))))</f>
        <v xml:space="preserve"> </v>
      </c>
      <c r="T70" s="44" t="str">
        <f>IF(T66= " ", " ",IF(T68&gt;SUM($H66:$BG66), " N/A", IF(SUM($H68:$BG68)=SUM($H55:BO55), " ", IF(T68=SUM($H55:BO55), " ", "x"))))</f>
        <v xml:space="preserve"> </v>
      </c>
      <c r="U70" s="44" t="str">
        <f>IF(U66= " ", " ",IF(U68&gt;SUM($H66:$BG66), " N/A", IF(SUM($H68:$BG68)=SUM($H55:BP55), " ", IF(U68=SUM($H55:BP55), " ", "x"))))</f>
        <v xml:space="preserve"> </v>
      </c>
      <c r="V70" s="44" t="str">
        <f>IF(V66= " ", " ",IF(V68&gt;SUM($H66:$BG66), " N/A", IF(SUM($H68:$BG68)=SUM($H55:BQ55), " ", IF(V68=SUM($H55:BQ55), " ", "x"))))</f>
        <v xml:space="preserve"> </v>
      </c>
      <c r="W70" s="44" t="str">
        <f>IF(W66= " ", " ",IF(W68&gt;SUM($H66:$BG66), " N/A", IF(SUM($H68:$BG68)=SUM($H55:BR55), " ", IF(W68=SUM($H55:BR55), " ", "x"))))</f>
        <v xml:space="preserve"> </v>
      </c>
      <c r="X70" s="44" t="str">
        <f>IF(X66= " ", " ",IF(X68&gt;SUM($H66:$BG66), " N/A", IF(SUM($H68:$BG68)=SUM($H55:BS55), " ", IF(X68=SUM($H55:BS55), " ", "x"))))</f>
        <v xml:space="preserve"> </v>
      </c>
      <c r="Y70" s="44" t="str">
        <f>IF(Y66= " ", " ",IF(Y68&gt;SUM($H66:$BG66), " N/A", IF(SUM($H68:$BG68)=SUM($H55:BT55), " ", IF(Y68=SUM($H55:BT55), " ", "x"))))</f>
        <v xml:space="preserve"> </v>
      </c>
      <c r="Z70" s="44" t="str">
        <f>IF(Z66= " ", " ",IF(Z68&gt;SUM($H66:$BG66), " N/A", IF(SUM($H68:$BG68)=SUM($H55:BU55), " ", IF(Z68=SUM($H55:BU55), " ", "x"))))</f>
        <v xml:space="preserve"> </v>
      </c>
      <c r="AA70" s="44" t="str">
        <f>IF(AA66= " ", " ",IF(AA68&gt;SUM($H66:$BG66), " N/A", IF(SUM($H68:$BG68)=SUM($H55:BV55), " ", IF(AA68=SUM($H55:BV55), " ", "x"))))</f>
        <v xml:space="preserve"> </v>
      </c>
      <c r="AB70" s="44" t="str">
        <f>IF(AB66= " ", " ",IF(AB68&gt;SUM($H66:$BG66), " N/A", IF(SUM($H68:$BG68)=SUM($H55:BW55), " ", IF(AB68=SUM($H55:BW55), " ", "x"))))</f>
        <v xml:space="preserve"> </v>
      </c>
      <c r="AC70" s="44" t="str">
        <f>IF(AC66= " ", " ",IF(AC68&gt;SUM($H66:$BG66), " N/A", IF(SUM($H68:$BG68)=SUM($H55:BX55), " ", IF(AC68=SUM($H55:BX55), " ", "x"))))</f>
        <v xml:space="preserve"> </v>
      </c>
      <c r="AD70" s="44" t="str">
        <f>IF(AD66= " ", " ",IF(AD68&gt;SUM($H66:$BG66), " N/A", IF(SUM($H68:$BG68)=SUM($H55:BY55), " ", IF(AD68=SUM($H55:BY55), " ", "x"))))</f>
        <v xml:space="preserve"> </v>
      </c>
      <c r="AE70" s="44" t="str">
        <f>IF(AE66= " ", " ",IF(AE68&gt;SUM($H66:$BG66), " N/A", IF(SUM($H68:$BG68)=SUM($H55:BZ55), " ", IF(AE68=SUM($H55:BZ55), " ", "x"))))</f>
        <v xml:space="preserve"> </v>
      </c>
      <c r="AF70" s="44" t="str">
        <f>IF(AF66= " ", " ",IF(AF68&gt;SUM($H66:$BG66), " N/A", IF(SUM($H68:$BG68)=SUM($H55:CA55), " ", IF(AF68=SUM($H55:CA55), " ", "x"))))</f>
        <v xml:space="preserve"> </v>
      </c>
      <c r="AG70" s="44" t="str">
        <f>IF(AG66= " ", " ",IF(AG68&gt;SUM($H66:$BG66), " N/A", IF(SUM($H68:$BG68)=SUM($H55:CB55), " ", IF(AG68=SUM($H55:CB55), " ", "x"))))</f>
        <v xml:space="preserve"> </v>
      </c>
      <c r="AH70" s="44" t="str">
        <f>IF(AH66= " ", " ",IF(AH68&gt;SUM($H66:$BG66), " N/A", IF(SUM($H68:$BG68)=SUM($H55:CC55), " ", IF(AH68=SUM($H55:CC55), " ", "x"))))</f>
        <v xml:space="preserve"> </v>
      </c>
      <c r="AI70" s="44" t="str">
        <f>IF(AI66= " ", " ",IF(AI68&gt;SUM($H66:$BG66), " N/A", IF(SUM($H68:$BG68)=SUM($H55:CD55), " ", IF(AI68=SUM($H55:CD55), " ", "x"))))</f>
        <v xml:space="preserve"> </v>
      </c>
      <c r="AJ70" s="44" t="str">
        <f>IF(AJ66= " ", " ",IF(AJ68&gt;SUM($H66:$BG66), " N/A", IF(SUM($H68:$BG68)=SUM($H55:CE55), " ", IF(AJ68=SUM($H55:CE55), " ", "x"))))</f>
        <v xml:space="preserve"> </v>
      </c>
      <c r="AK70" s="44" t="str">
        <f>IF(AK66= " ", " ",IF(AK68&gt;SUM($H66:$BG66), " N/A", IF(SUM($H68:$BG68)=SUM($H55:CF55), " ", IF(AK68=SUM($H55:CF55), " ", "x"))))</f>
        <v xml:space="preserve"> </v>
      </c>
      <c r="AL70" s="44" t="str">
        <f>IF(AL66= " ", " ",IF(AL68&gt;SUM($H66:$BG66), " N/A", IF(SUM($H68:$BG68)=SUM($H55:CG55), " ", IF(AL68=SUM($H55:CG55), " ", "x"))))</f>
        <v xml:space="preserve"> </v>
      </c>
      <c r="AM70" s="44" t="str">
        <f>IF(AM66= " ", " ",IF(AM68&gt;SUM($H66:$BG66), " N/A", IF(SUM($H68:$BG68)=SUM($H55:CH55), " ", IF(AM68=SUM($H55:CH55), " ", "x"))))</f>
        <v xml:space="preserve"> </v>
      </c>
      <c r="AN70" s="44" t="str">
        <f>IF(AN66= " ", " ",IF(AN68&gt;SUM($H66:$BG66), " N/A", IF(SUM($H68:$BG68)=SUM($H55:CI55), " ", IF(AN68=SUM($H55:CI55), " ", "x"))))</f>
        <v xml:space="preserve"> </v>
      </c>
      <c r="AO70" s="44" t="str">
        <f>IF(AO66= " ", " ",IF(AO68&gt;SUM($H66:$BG66), " N/A", IF(SUM($H68:$BG68)=SUM($H55:CJ55), " ", IF(AO68=SUM($H55:CJ55), " ", "x"))))</f>
        <v xml:space="preserve"> </v>
      </c>
      <c r="AP70" s="44" t="str">
        <f>IF(AP66= " ", " ",IF(AP68&gt;SUM($H66:$BG66), " N/A", IF(SUM($H68:$BG68)=SUM($H55:CK55), " ", IF(AP68=SUM($H55:CK55), " ", "x"))))</f>
        <v xml:space="preserve"> </v>
      </c>
      <c r="AQ70" s="44" t="str">
        <f>IF(AQ66= " ", " ",IF(AQ68&gt;SUM($H66:$BG66), " N/A", IF(SUM($H68:$BG68)=SUM($H55:CL55), " ", IF(AQ68=SUM($H55:CL55), " ", "x"))))</f>
        <v xml:space="preserve"> </v>
      </c>
      <c r="AR70" s="44" t="str">
        <f>IF(AR66= " ", " ",IF(AR68&gt;SUM($H66:$BG66), " N/A", IF(SUM($H68:$BG68)=SUM($H55:CM55), " ", IF(AR68=SUM($H55:CM55), " ", "x"))))</f>
        <v xml:space="preserve"> </v>
      </c>
      <c r="AS70" s="44" t="str">
        <f>IF(AS66= " ", " ",IF(AS68&gt;SUM($H66:$BG66), " N/A", IF(SUM($H68:$BG68)=SUM($H55:CN55), " ", IF(AS68=SUM($H55:CN55), " ", "x"))))</f>
        <v xml:space="preserve"> </v>
      </c>
      <c r="AT70" s="44" t="str">
        <f>IF(AT66= " ", " ",IF(AT68&gt;SUM($H66:$BG66), " N/A", IF(SUM($H68:$BG68)=SUM($H55:CO55), " ", IF(AT68=SUM($H55:CO55), " ", "x"))))</f>
        <v xml:space="preserve"> </v>
      </c>
      <c r="AU70" s="44" t="str">
        <f>IF(AU66= " ", " ",IF(AU68&gt;SUM($H66:$BG66), " N/A", IF(SUM($H68:$BG68)=SUM($H55:CP55), " ", IF(AU68=SUM($H55:CP55), " ", "x"))))</f>
        <v xml:space="preserve"> </v>
      </c>
      <c r="AV70" s="44" t="str">
        <f>IF(AV66= " ", " ",IF(AV68&gt;SUM($H66:$BG66), " N/A", IF(SUM($H68:$BG68)=SUM($H55:CQ55), " ", IF(AV68=SUM($H55:CQ55), " ", "x"))))</f>
        <v xml:space="preserve"> </v>
      </c>
      <c r="AW70" s="44" t="str">
        <f>IF(AW66= " ", " ",IF(AW68&gt;SUM($H66:$BG66), " N/A", IF(SUM($H68:$BG68)=SUM($H55:CR55), " ", IF(AW68=SUM($H55:CR55), " ", "x"))))</f>
        <v xml:space="preserve"> </v>
      </c>
      <c r="AX70" s="44" t="str">
        <f>IF(AX66= " ", " ",IF(AX68&gt;SUM($H66:$BG66), " N/A", IF(SUM($H68:$BG68)=SUM($H55:CS55), " ", IF(AX68=SUM($H55:CS55), " ", "x"))))</f>
        <v xml:space="preserve"> </v>
      </c>
      <c r="AY70" s="44" t="str">
        <f>IF(AY66= " ", " ",IF(AY68&gt;SUM($H66:$BG66), " N/A", IF(SUM($H68:$BG68)=SUM($H55:CT55), " ", IF(AY68=SUM($H55:CT55), " ", "x"))))</f>
        <v xml:space="preserve"> </v>
      </c>
      <c r="AZ70" s="44" t="str">
        <f>IF(AZ66= " ", " ",IF(AZ68&gt;SUM($H66:$BG66), " N/A", IF(SUM($H68:$BG68)=SUM($H55:CU55), " ", IF(AZ68=SUM($H55:CU55), " ", "x"))))</f>
        <v xml:space="preserve"> </v>
      </c>
      <c r="BA70" s="44" t="str">
        <f>IF(BA66= " ", " ",IF(BA68&gt;SUM($H66:$BG66), " N/A", IF(SUM($H68:$BG68)=SUM($H55:CV55), " ", IF(BA68=SUM($H55:CV55), " ", "x"))))</f>
        <v xml:space="preserve"> </v>
      </c>
      <c r="BB70" s="44" t="str">
        <f>IF(BB66= " ", " ",IF(BB68&gt;SUM($H66:$BG66), " N/A", IF(SUM($H68:$BG68)=SUM($H55:CW55), " ", IF(BB68=SUM($H55:CW55), " ", "x"))))</f>
        <v xml:space="preserve"> </v>
      </c>
      <c r="BC70" s="44" t="str">
        <f>IF(BC66= " ", " ",IF(BC68&gt;SUM($H66:$BG66), " N/A", IF(SUM($H68:$BG68)=SUM($H55:CX55), " ", IF(BC68=SUM($H55:CX55), " ", "x"))))</f>
        <v xml:space="preserve"> </v>
      </c>
      <c r="BD70" s="44" t="str">
        <f>IF(BD66= " ", " ",IF(BD68&gt;SUM($H66:$BG66), " N/A", IF(SUM($H68:$BG68)=SUM($H55:CY55), " ", IF(BD68=SUM($H55:CY55), " ", "x"))))</f>
        <v xml:space="preserve"> </v>
      </c>
      <c r="BE70" s="44" t="str">
        <f>IF(BE66= " ", " ",IF(BE68&gt;SUM($H66:$BG66), " N/A", IF(SUM($H68:$BG68)=SUM($H55:CZ55), " ", IF(BE68=SUM($H55:CZ55), " ", "x"))))</f>
        <v xml:space="preserve"> </v>
      </c>
      <c r="BF70" s="44" t="str">
        <f>IF(BF66= " ", " ",IF(BF68&gt;SUM($H66:$BG66), " N/A", IF(SUM($H68:$BG68)=SUM($H55:DA55), " ", IF(BF68=SUM($H55:DA55), " ", "x"))))</f>
        <v xml:space="preserve"> </v>
      </c>
      <c r="BG70" s="44" t="str">
        <f>IF(BG66= " ", " ",IF(BG68&gt;SUM($H66:$BG66), " N/A", IF(SUM($H68:$BG68)=SUM($H55:DB55), " ", IF(BG68=SUM($H55:DB55), " ", "x"))))</f>
        <v xml:space="preserve"> </v>
      </c>
      <c r="BH70" s="21"/>
    </row>
    <row r="71" spans="2:60" ht="15.6" x14ac:dyDescent="0.3">
      <c r="B71" s="71"/>
      <c r="C71" s="77"/>
      <c r="D71" s="82" t="s">
        <v>249</v>
      </c>
      <c r="E71" s="54">
        <f>SUM(H71:BG71)</f>
        <v>41</v>
      </c>
      <c r="F71" s="115">
        <f>Gant_24!$E71-E73</f>
        <v>0</v>
      </c>
      <c r="H71" s="41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>
        <v>41</v>
      </c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42"/>
      <c r="BH71" s="21"/>
    </row>
    <row r="72" spans="2:60" ht="15.6" x14ac:dyDescent="0.3">
      <c r="B72" s="68"/>
      <c r="C72" s="78"/>
      <c r="D72" s="83" t="s">
        <v>261</v>
      </c>
      <c r="E72" s="55">
        <f>SUM(H72:BG72)</f>
        <v>0</v>
      </c>
      <c r="F72" s="116"/>
      <c r="H72" s="43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  <c r="BF72" s="44"/>
      <c r="BG72" s="44"/>
      <c r="BH72" s="21"/>
    </row>
    <row r="73" spans="2:60" ht="15.6" x14ac:dyDescent="0.3">
      <c r="B73" s="68" t="s">
        <v>83</v>
      </c>
      <c r="C73" s="78" t="s">
        <v>84</v>
      </c>
      <c r="D73" s="83" t="s">
        <v>241</v>
      </c>
      <c r="E73" s="55">
        <f>SUM(H73:BG73)</f>
        <v>41</v>
      </c>
      <c r="F73" s="116"/>
      <c r="H73" s="45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>
        <v>41</v>
      </c>
      <c r="AG73" s="46"/>
      <c r="AH73" s="46"/>
      <c r="AI73" s="46"/>
      <c r="AJ73" s="46"/>
      <c r="AK73" s="46"/>
      <c r="AL73" s="46"/>
      <c r="AM73" s="46"/>
      <c r="AN73" s="46"/>
      <c r="AO73" s="46"/>
      <c r="AP73" s="46"/>
      <c r="AQ73" s="46"/>
      <c r="AR73" s="46"/>
      <c r="AS73" s="46"/>
      <c r="AT73" s="46"/>
      <c r="AU73" s="46"/>
      <c r="AV73" s="46"/>
      <c r="AW73" s="46"/>
      <c r="AX73" s="46"/>
      <c r="AY73" s="46"/>
      <c r="AZ73" s="46"/>
      <c r="BA73" s="46"/>
      <c r="BB73" s="46"/>
      <c r="BC73" s="46"/>
      <c r="BD73" s="46"/>
      <c r="BE73" s="46"/>
      <c r="BF73" s="46"/>
      <c r="BG73" s="46"/>
      <c r="BH73" s="21"/>
    </row>
    <row r="74" spans="2:60" ht="15.6" x14ac:dyDescent="0.3">
      <c r="B74" s="68"/>
      <c r="C74" s="78"/>
      <c r="D74" s="83" t="s">
        <v>278</v>
      </c>
      <c r="E74" s="56">
        <f ca="1">MAX(H74:BG74)</f>
        <v>0</v>
      </c>
      <c r="F74" s="116"/>
      <c r="H74" s="47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 t="str">
        <f>IF(SUM(H71:BG71) = AC73, " 0 ", " ")</f>
        <v xml:space="preserve"> </v>
      </c>
      <c r="AD74" s="48" t="str">
        <f ca="1">IF(AD9&gt;WEEKNUM(TODAY())," ", IF(AND(AD10="x",SUM($AC73:AD73)&gt;$AC71),H9-(SUM($AC73:AC73)/SUM($AC71:$BG71)),IF(SUM($AC73:AD73)&gt;=$AC71," ",H9-(SUM($AC73:AC73)/(SUM($AC71:$BG71))))))</f>
        <v xml:space="preserve"> </v>
      </c>
      <c r="AE74" s="48" t="str">
        <f ca="1">IF(AE9&gt;WEEKNUM(TODAY())," ", IF(AND(AE10="x",SUM($AC73:AE73)&gt;$AC71),I9-(SUM($AC73:AD73)/SUM($AC71:$BG71)),IF(SUM($AC73:AE73)&gt;=$AC71," ",I9-(SUM($AC73:AD73)/(SUM($AC71:$BG71))))))</f>
        <v xml:space="preserve"> </v>
      </c>
      <c r="AF74" s="48" t="str">
        <f ca="1">IF(AF9&gt;WEEKNUM(TODAY())," ", IF(AND(AF10="x",SUM($AC73:AF73)&gt;$AC71),J9-(SUM($AC73:AE73)/SUM($AC71:$BG71)),IF(SUM($AC73:AF73)&gt;=$AC71," ",J9-(SUM($AC73:AE73)/(SUM($AC71:$BG71))))))</f>
        <v xml:space="preserve"> </v>
      </c>
      <c r="AG74" s="48" t="str">
        <f ca="1">IF(AG9&gt;WEEKNUM(TODAY())," ", IF(AND(AG10="x",SUM($AC73:AG73)&gt;$AC71),K9-(SUM($AC73:AF73)/SUM($AC71:$BG71)),IF(SUM($AC73:AG73)&gt;=$AC71," ",K9-(SUM($AC73:AF73)/(SUM($AC71:$BG71))))))</f>
        <v xml:space="preserve"> </v>
      </c>
      <c r="AH74" s="48" t="str">
        <f ca="1">IF(AH9&gt;WEEKNUM(TODAY())," ", IF(AND(AH10="x",SUM($AC73:AH73)&gt;$AC71),L9-(SUM($AC73:AG73)/SUM($AC71:$BG71)),IF(SUM($AC73:AH73)&gt;=$AC71," ",L9-(SUM($AC73:AG73)/(SUM($AC71:$BG71))))))</f>
        <v xml:space="preserve"> </v>
      </c>
      <c r="AI74" s="48" t="str">
        <f ca="1">IF(AI9&gt;WEEKNUM(TODAY())," ", IF(AND(AI10="x",SUM($AC73:AI73)&gt;$AC71),M9-(SUM($AC73:AH73)/SUM($AC71:$BG71)),IF(SUM($AC73:AI73)&gt;=$AC71," ",M9-(SUM($AC73:AH73)/(SUM($AC71:$BG71))))))</f>
        <v xml:space="preserve"> </v>
      </c>
      <c r="AJ74" s="48" t="str">
        <f ca="1">IF(AJ9&gt;WEEKNUM(TODAY())," ", IF(AND(AJ10="x",SUM($AC73:AJ73)&gt;$AC71),N9-(SUM($AC73:AI73)/SUM($AC71:$BG71)),IF(SUM($AC73:AJ73)&gt;=$AC71," ",N9-(SUM($AC73:AI73)/(SUM($AC71:$BG71))))))</f>
        <v xml:space="preserve"> </v>
      </c>
      <c r="AK74" s="48" t="str">
        <f ca="1">IF(AK9&gt;WEEKNUM(TODAY())," ", IF(AND(AK10="x",SUM($AC73:AK73)&gt;$AC71),O9-(SUM($AC73:AJ73)/SUM($AC71:$BG71)),IF(SUM($AC73:AK73)&gt;=$AC71," ",O9-(SUM($AC73:AJ73)/(SUM($AC71:$BG71))))))</f>
        <v xml:space="preserve"> </v>
      </c>
      <c r="AL74" s="48" t="str">
        <f ca="1">IF(AL9&gt;WEEKNUM(TODAY())," ", IF(AND(AL10="x",SUM($AC73:AL73)&gt;$AC71),P9-(SUM($AC73:AK73)/SUM($AC71:$BG71)),IF(SUM($AC73:AL73)&gt;=$AC71," ",P9-(SUM($AC73:AK73)/(SUM($AC71:$BG71))))))</f>
        <v xml:space="preserve"> </v>
      </c>
      <c r="AM74" s="48" t="str">
        <f ca="1">IF(AM9&gt;WEEKNUM(TODAY())," ", IF(AND(AM10="x",SUM($AC73:AM73)&gt;$AC71),Q9-(SUM($AC73:AL73)/SUM($AC71:$BG71)),IF(SUM($AC73:AM73)&gt;=$AC71," ",Q9-(SUM($AC73:AL73)/(SUM($AC71:$BG71))))))</f>
        <v xml:space="preserve"> </v>
      </c>
      <c r="AN74" s="48" t="str">
        <f ca="1">IF(AN9&gt;WEEKNUM(TODAY())," ", IF(AND(AN10="x",SUM($AC73:AN73)&gt;$AC71),R9-(SUM($AC73:AM73)/SUM($AC71:$BG71)),IF(SUM($AC73:AN73)&gt;=$AC71," ",R9-(SUM($AC73:AM73)/(SUM($AC71:$BG71))))))</f>
        <v xml:space="preserve"> </v>
      </c>
      <c r="AO74" s="48" t="str">
        <f ca="1">IF(AO9&gt;WEEKNUM(TODAY())," ", IF(AND(AO10="x",SUM($AC73:AO73)&gt;$AC71),S9-(SUM($AC73:AN73)/SUM($AC71:$BG71)),IF(SUM($AC73:AO73)&gt;=$AC71," ",S9-(SUM($AC73:AN73)/(SUM($AC71:$BG71))))))</f>
        <v xml:space="preserve"> </v>
      </c>
      <c r="AP74" s="48" t="str">
        <f ca="1">IF(AP9&gt;WEEKNUM(TODAY())," ", IF(AND(AP10="x",SUM($AC73:AP73)&gt;$AC71),T9-(SUM($AC73:AO73)/SUM($AC71:$BG71)),IF(SUM($AC73:AP73)&gt;=$AC71," ",T9-(SUM($AC73:AO73)/(SUM($AC71:$BG71))))))</f>
        <v xml:space="preserve"> </v>
      </c>
      <c r="AQ74" s="48" t="str">
        <f ca="1">IF(AQ9&gt;WEEKNUM(TODAY())," ", IF(AND(AQ10="x",SUM($AC73:AQ73)&gt;$AC71),U9-(SUM($AC73:AP73)/SUM($AC71:$BG71)),IF(SUM($AC73:AQ73)&gt;=$AC71," ",U9-(SUM($AC73:AP73)/(SUM($AC71:$BG71))))))</f>
        <v xml:space="preserve"> </v>
      </c>
      <c r="AR74" s="48" t="str">
        <f ca="1">IF(AR9&gt;WEEKNUM(TODAY())," ", IF(AND(AR10="x",SUM($AC73:AR73)&gt;$AC71),V9-(SUM($AC73:AQ73)/SUM($AC71:$BG71)),IF(SUM($AC73:AR73)&gt;=$AC71," ",V9-(SUM($AC73:AQ73)/(SUM($AC71:$BG71))))))</f>
        <v xml:space="preserve"> </v>
      </c>
      <c r="AS74" s="48" t="str">
        <f ca="1">IF(AS9&gt;WEEKNUM(TODAY())," ", IF(AND(AS10="x",SUM($AC73:AS73)&gt;$AC71),W9-(SUM($AC73:AR73)/SUM($AC71:$BG71)),IF(SUM($AC73:AS73)&gt;=$AC71," ",W9-(SUM($AC73:AR73)/(SUM($AC71:$BG71))))))</f>
        <v xml:space="preserve"> </v>
      </c>
      <c r="AT74" s="48" t="str">
        <f ca="1">IF(AT9&gt;WEEKNUM(TODAY())," ", IF(AND(AT10="x",SUM($AC73:AT73)&gt;$AC71),X9-(SUM($AC73:AS73)/SUM($AC71:$BG71)),IF(SUM($AC73:AT73)&gt;=$AC71," ",X9-(SUM($AC73:AS73)/(SUM($AC71:$BG71))))))</f>
        <v xml:space="preserve"> </v>
      </c>
      <c r="AU74" s="48" t="str">
        <f ca="1">IF(AU9&gt;WEEKNUM(TODAY())," ", IF(AND(AU10="x",SUM($AC73:AU73)&gt;$AC71),Y9-(SUM($AC73:AT73)/SUM($AC71:$BG71)),IF(SUM($AC73:AU73)&gt;=$AC71," ",Y9-(SUM($AC73:AT73)/(SUM($AC71:$BG71))))))</f>
        <v xml:space="preserve"> </v>
      </c>
      <c r="AV74" s="48" t="str">
        <f ca="1">IF(AV9&gt;WEEKNUM(TODAY())," ", IF(AND(AV10="x",SUM($AC73:AV73)&gt;$AC71),Z9-(SUM($AC73:AU73)/SUM($AC71:$BG71)),IF(SUM($AC73:AV73)&gt;=$AC71," ",Z9-(SUM($AC73:AU73)/(SUM($AC71:$BG71))))))</f>
        <v xml:space="preserve"> </v>
      </c>
      <c r="AW74" s="48" t="str">
        <f ca="1">IF(AW9&gt;WEEKNUM(TODAY())," ", IF(AND(AW10="x",SUM($AC73:AW73)&gt;$AC71),AA9-(SUM($AC73:AV73)/SUM($AC71:$BG71)),IF(SUM($AC73:AW73)&gt;=$AC71," ",AA9-(SUM($AC73:AV73)/(SUM($AC71:$BG71))))))</f>
        <v xml:space="preserve"> </v>
      </c>
      <c r="AX74" s="48" t="str">
        <f ca="1">IF(AX9&gt;WEEKNUM(TODAY())," ", IF(AND(AX10="x",SUM($AC73:AX73)&gt;$AC71),AB9-(SUM($AC73:AW73)/SUM($AC71:$BG71)),IF(SUM($AC73:AX73)&gt;=$AC71," ",AB9-(SUM($AC73:AW73)/(SUM($AC71:$BG71))))))</f>
        <v xml:space="preserve"> </v>
      </c>
      <c r="AY74" s="48" t="str">
        <f ca="1">IF(AY9&gt;WEEKNUM(TODAY())," ", IF(AND(AY10="x",SUM($AC73:AY73)&gt;$AC71),AC9-(SUM($AC73:AX73)/SUM($AC71:$BG71)),IF(SUM($AC73:AY73)&gt;=$AC71," ",AC9-(SUM($AC73:AX73)/(SUM($AC71:$BG71))))))</f>
        <v xml:space="preserve"> </v>
      </c>
      <c r="AZ74" s="48" t="str">
        <f ca="1">IF(AZ9&gt;WEEKNUM(TODAY())," ", IF(AND(AZ10="x",SUM($AC73:AZ73)&gt;$AC71),AD9-(SUM($AC73:AY73)/SUM($AC71:$BG71)),IF(SUM($AC73:AZ73)&gt;=$AC71," ",AD9-(SUM($AC73:AY73)/(SUM($AC71:$BG71))))))</f>
        <v xml:space="preserve"> </v>
      </c>
      <c r="BA74" s="48" t="str">
        <f ca="1">IF(BA9&gt;WEEKNUM(TODAY())," ", IF(AND(BA10="x",SUM($AC73:BA73)&gt;$AC71),AE9-(SUM($AC73:AZ73)/SUM($AC71:$BG71)),IF(SUM($AC73:BA73)&gt;=$AC71," ",AE9-(SUM($AC73:AZ73)/(SUM($AC71:$BG71))))))</f>
        <v xml:space="preserve"> </v>
      </c>
      <c r="BB74" s="48" t="str">
        <f ca="1">IF(BB9&gt;WEEKNUM(TODAY())," ", IF(AND(BB10="x",SUM($AC73:BB73)&gt;$AC71),AF9-(SUM($AC73:BA73)/SUM($AC71:$BG71)),IF(SUM($AC73:BB73)&gt;=$AC71," ",AF9-(SUM($AC73:BA73)/(SUM($AC71:$BG71))))))</f>
        <v xml:space="preserve"> </v>
      </c>
      <c r="BC74" s="48" t="str">
        <f ca="1">IF(BC9&gt;WEEKNUM(TODAY())," ", IF(AND(BC10="x",SUM($AC73:BC73)&gt;$AC71),AG9-(SUM($AC73:BB73)/SUM($AC71:$BG71)),IF(SUM($AC73:BC73)&gt;=$AC71," ",AG9-(SUM($AC73:BB73)/(SUM($AC71:$BG71))))))</f>
        <v xml:space="preserve"> </v>
      </c>
      <c r="BD74" s="48" t="str">
        <f ca="1">IF(BD9&gt;WEEKNUM(TODAY())," ", IF(AND(BD10="x",SUM($AC73:BD73)&gt;$AC71),AH9-(SUM($AC73:BC73)/SUM($AC71:$BG71)),IF(SUM($AC73:BD73)&gt;=$AC71," ",AH9-(SUM($AC73:BC73)/(SUM($AC71:$BG71))))))</f>
        <v xml:space="preserve"> </v>
      </c>
      <c r="BE74" s="48" t="str">
        <f ca="1">IF(BE9&gt;WEEKNUM(TODAY())," ", IF(AND(BE10="x",SUM($AC73:BE73)&gt;$AC71),AI9-(SUM($AC73:BD73)/SUM($AC71:$BG71)),IF(SUM($AC73:BE73)&gt;=$AC71," ",AI9-(SUM($AC73:BD73)/(SUM($AC71:$BG71))))))</f>
        <v xml:space="preserve"> </v>
      </c>
      <c r="BF74" s="48" t="str">
        <f ca="1">IF(BF9&gt;WEEKNUM(TODAY())," ", IF(AND(BF10="x",SUM($AC73:BF73)&gt;$AC71),AJ9-(SUM($AC73:BE73)/SUM($AC71:$BG71)),IF(SUM($AC73:BF73)&gt;=$AC71," ",AJ9-(SUM($AC73:BE73)/(SUM($AC71:$BG71))))))</f>
        <v xml:space="preserve"> </v>
      </c>
      <c r="BG74" s="48" t="str">
        <f ca="1">IF(BG9&gt;WEEKNUM(TODAY())," ", IF(AND(BG10="x",SUM($AC73:BG73)&gt;$AC71),AK9-(SUM($AC73:BF73)/SUM($AC71:$BG71)),IF(SUM($AC73:BG73)&gt;=$AC71," ",AK9-(SUM($AC73:BF73)/(SUM($AC71:$BG71))))))</f>
        <v xml:space="preserve"> </v>
      </c>
      <c r="BH74" s="21"/>
    </row>
    <row r="75" spans="2:60" ht="16.2" thickBot="1" x14ac:dyDescent="0.35">
      <c r="B75" s="70"/>
      <c r="C75" s="79"/>
      <c r="D75" s="84"/>
      <c r="E75" s="57"/>
      <c r="F75" s="117"/>
      <c r="H75" s="49" t="str">
        <f>IF(H71= " ", " ",IF(H73&gt;SUM($H71:$BG71), " N/A", IF(SUM($H73:$BG73)=SUM($H71:BG71), " ", IF(H73=SUM($H71:BG71), " ", "x"))))</f>
        <v xml:space="preserve"> </v>
      </c>
      <c r="I75" s="50" t="str">
        <f>IF(SUM($H73:I73) &gt; SUM($H71:I71),  " N/A", IF(SUM($H73:$BG73) = SUM($H71:$BH71),    " ",IF(I73 = SUM($H71:$BH71),  " ",   "x")))</f>
        <v xml:space="preserve"> </v>
      </c>
      <c r="J75" s="50" t="str">
        <f>IF(SUM($H73:J73) &gt; SUM($H71:J71),  " N/A", IF(SUM($H73:$BG73) = SUM($H71:$BH71),    " ",IF(J73 = SUM($H71:$BH71),  " ",   "x")))</f>
        <v xml:space="preserve"> </v>
      </c>
      <c r="K75" s="50" t="str">
        <f>IF(SUM($H73:K73) &gt; SUM($H71:K71),  " N/A", IF(SUM($H73:$BG73) = SUM($H71:$BH71),    " ",IF(K73 = SUM($H71:$BH71),  " ",   "x")))</f>
        <v xml:space="preserve"> </v>
      </c>
      <c r="L75" s="50" t="str">
        <f>IF(SUM($H73:L73) &gt; SUM($H71:L71),  " N/A", IF(SUM($H73:$BG73) = SUM($H71:$BH71),    " ",IF(L73 = SUM($H71:$BH71),  " ",   "x")))</f>
        <v xml:space="preserve"> </v>
      </c>
      <c r="M75" s="50" t="str">
        <f>IF(SUM($H73:M73) &gt; SUM($H71:M71),  " N/A", IF(SUM($H73:$BG73) = SUM($H71:$BH71),    " ",IF(M73 = SUM($H71:$BH71),  " ",   "x")))</f>
        <v xml:space="preserve"> </v>
      </c>
      <c r="N75" s="50" t="str">
        <f>IF(SUM($H73:N73) &gt; SUM($H71:N71),  " N/A", IF(SUM($H73:$BG73) = SUM($H71:$BH71),    " ",IF(N73 = SUM($H71:$BH71),  " ",   "x")))</f>
        <v xml:space="preserve"> </v>
      </c>
      <c r="O75" s="50" t="str">
        <f>IF(SUM($H73:O73) &gt; SUM($H71:O71),  " N/A", IF(SUM($H73:$BG73) = SUM($H71:$BH71),    " ",IF(O73 = SUM($H71:$BH71),  " ",   "x")))</f>
        <v xml:space="preserve"> </v>
      </c>
      <c r="P75" s="50" t="str">
        <f>IF(SUM($H73:P73) &gt; SUM($H71:P71),  " N/A", IF(SUM($H73:$BG73) = SUM($H71:$BH71),    " ",IF(P73 = SUM($H71:$BH71),  " ",   "x")))</f>
        <v xml:space="preserve"> </v>
      </c>
      <c r="Q75" s="50" t="str">
        <f>IF(SUM($H73:Q73) &gt; SUM($H71:Q71),  " N/A", IF(SUM($H73:$BG73) = SUM($H71:$BH71),    " ",IF(Q73 = SUM($H71:$BH71),  " ",   "x")))</f>
        <v xml:space="preserve"> </v>
      </c>
      <c r="R75" s="50" t="str">
        <f>IF(SUM($H73:R73) &gt; SUM($H71:R71),  " N/A", IF(SUM($H73:$BG73) = SUM($H71:$BH71),    " ",IF(R73 = SUM($H71:$BH71),  " ",   "x")))</f>
        <v xml:space="preserve"> </v>
      </c>
      <c r="S75" s="50" t="str">
        <f>IF(SUM($H73:S73) &gt; SUM($H71:S71),  " N/A", IF(SUM($H73:$BG73) = SUM($H71:$BH71),    " ",IF(S73 = SUM($H71:$BH71),  " ",   "x")))</f>
        <v xml:space="preserve"> </v>
      </c>
      <c r="T75" s="50" t="str">
        <f>IF(SUM($H73:T73) &gt; SUM($H71:T71),  " N/A", IF(SUM($H73:$BG73) = SUM($H71:$BH71),    " ",IF(T73 = SUM($H71:$BH71),  " ",   "x")))</f>
        <v xml:space="preserve"> </v>
      </c>
      <c r="U75" s="50" t="str">
        <f>IF(SUM($H73:U73) &gt; SUM($H71:U71),  " N/A", IF(SUM($H73:$BG73) = SUM($H71:$BH71),    " ",IF(U73 = SUM($H71:$BH71),  " ",   "x")))</f>
        <v xml:space="preserve"> </v>
      </c>
      <c r="V75" s="50" t="str">
        <f>IF(SUM($H73:V73) &gt; SUM($H71:V71),  " N/A", IF(SUM($H73:$BG73) = SUM($H71:$BH71),    " ",IF(V73 = SUM($H71:$BH71),  " ",   "x")))</f>
        <v xml:space="preserve"> </v>
      </c>
      <c r="W75" s="50" t="str">
        <f>IF(SUM($H73:W73) &gt; SUM($H71:W71),  " N/A", IF(SUM($H73:$BG73) = SUM($H71:$BH71),    " ",IF(W73 = SUM($H71:$BH71),  " ",   "x")))</f>
        <v xml:space="preserve"> </v>
      </c>
      <c r="X75" s="50" t="str">
        <f>IF(SUM($H73:X73) &gt; SUM($H71:X71),  " N/A", IF(SUM($H73:$BG73) = SUM($H71:$BH71),    " ",IF(X73 = SUM($H71:$BH71),  " ",   "x")))</f>
        <v xml:space="preserve"> </v>
      </c>
      <c r="Y75" s="50" t="str">
        <f>IF(SUM($H73:Y73) &gt; SUM($H71:Y71),  " N/A", IF(SUM($H73:$BG73) = SUM($H71:$BH71),    " ",IF(Y73 = SUM($H71:$BH71),  " ",   "x")))</f>
        <v xml:space="preserve"> </v>
      </c>
      <c r="Z75" s="50" t="str">
        <f>IF(SUM($H73:Z73) &gt; SUM($H71:Z71),  " N/A", IF(SUM($H73:$BG73) = SUM($H71:$BH71),    " ",IF(Z73 = SUM($H71:$BH71),  " ",   "x")))</f>
        <v xml:space="preserve"> </v>
      </c>
      <c r="AA75" s="50" t="str">
        <f>IF(SUM($H73:AA73) &gt; SUM($H71:AA71),  " N/A", IF(SUM($H73:$BG73) = SUM($H71:$BH71),    " ",IF(AA73 = SUM($H71:$BH71),  " ",   "x")))</f>
        <v xml:space="preserve"> </v>
      </c>
      <c r="AB75" s="50" t="str">
        <f>IF(SUM($H73:AB73) &gt; SUM($H71:AB71),  " N/A", IF(SUM($H73:$BG73) = SUM($H71:$BH71),    " ",IF(AB73 = SUM($H71:$BH71),  " ",   "x")))</f>
        <v xml:space="preserve"> </v>
      </c>
      <c r="AC75" s="50" t="str">
        <f>IF(SUM($H73:AC73) &gt; SUM($H71:AC71),  " N/A", IF(SUM($H73:$BG73) = SUM($H71:$BH71),    " ",IF(AC73 = SUM($H71:$BH71),  " ",   "x")))</f>
        <v xml:space="preserve"> </v>
      </c>
      <c r="AD75" s="50" t="str">
        <f>IF(SUM($H73:AD73) &gt; SUM($H71:AD71),  " N/A", IF(SUM($H73:$BG73) = SUM($H71:$BH71),    " ",IF(AD73 = SUM($H71:$BH71),  " ",   "x")))</f>
        <v xml:space="preserve"> </v>
      </c>
      <c r="AE75" s="50" t="str">
        <f>IF(SUM($H73:AE73) &gt; SUM($H71:AE71),  " N/A", IF(SUM($H73:$BG73) = SUM($H71:$BH71),    " ",IF(AE73 = SUM($H71:$BH71),  " ",   "x")))</f>
        <v xml:space="preserve"> </v>
      </c>
      <c r="AF75" s="50" t="str">
        <f>IF(SUM($H73:AF73) &gt; SUM($H71:AF71),  " N/A", IF(SUM($H73:$BG73) = SUM($H71:$BH71),    " ",IF(AF73 = SUM($H71:$BH71),  " ",   "x")))</f>
        <v xml:space="preserve"> </v>
      </c>
      <c r="AG75" s="50" t="str">
        <f>IF(SUM($H73:AG73) &gt; SUM($H71:AG71),  " N/A", IF(SUM($H73:$BG73) = SUM($H71:$BH71),    " ",IF(AG73 = SUM($H71:$BH71),  " ",   "x")))</f>
        <v xml:space="preserve"> </v>
      </c>
      <c r="AH75" s="50" t="str">
        <f>IF(SUM($H73:AH73) &gt; SUM($H71:AH71),  " N/A", IF(SUM($H73:$BG73) = SUM($H71:$BH71),    " ",IF(AH73 = SUM($H71:$BH71),  " ",   "x")))</f>
        <v xml:space="preserve"> </v>
      </c>
      <c r="AI75" s="50" t="str">
        <f>IF(SUM($H73:AI73) &gt; SUM($H71:AI71),  " N/A", IF(SUM($H73:$BG73) = SUM($H71:$BH71),    " ",IF(AI73 = SUM($H71:$BH71),  " ",   "x")))</f>
        <v xml:space="preserve"> </v>
      </c>
      <c r="AJ75" s="50" t="str">
        <f>IF(SUM($H73:AJ73) &gt; SUM($H71:AJ71),  " N/A", IF(SUM($H73:$BG73) = SUM($H71:$BH71),    " ",IF(AJ73 = SUM($H71:$BH71),  " ",   "x")))</f>
        <v xml:space="preserve"> </v>
      </c>
      <c r="AK75" s="50" t="str">
        <f>IF(SUM($H73:AK73) &gt; SUM($H71:AK71),  " N/A", IF(SUM($H73:$BG73) = SUM($H71:$BH71),    " ",IF(AK73 = SUM($H71:$BH71),  " ",   "x")))</f>
        <v xml:space="preserve"> </v>
      </c>
      <c r="AL75" s="50" t="str">
        <f>IF(SUM($H73:AL73) &gt; SUM($H71:AL71),  " N/A", IF(SUM($H73:$BG73) = SUM($H71:$BH71),    " ",IF(AL73 = SUM($H71:$BH71),  " ",   "x")))</f>
        <v xml:space="preserve"> </v>
      </c>
      <c r="AM75" s="50" t="str">
        <f>IF(SUM($H73:AM73) &gt; SUM($H71:AM71),  " N/A", IF(SUM($H73:$BG73) = SUM($H71:$BH71),    " ",IF(AM73 = SUM($H71:$BH71),  " ",   "x")))</f>
        <v xml:space="preserve"> </v>
      </c>
      <c r="AN75" s="50" t="str">
        <f>IF(SUM($H73:AN73) &gt; SUM($H71:AN71),  " N/A", IF(SUM($H73:$BG73) = SUM($H71:$BH71),    " ",IF(AN73 = SUM($H71:$BH71),  " ",   "x")))</f>
        <v xml:space="preserve"> </v>
      </c>
      <c r="AO75" s="50" t="str">
        <f>IF(SUM($H73:AO73) &gt; SUM($H71:AO71),  " N/A", IF(SUM($H73:$BG73) = SUM($H71:$BH71),    " ",IF(AO73 = SUM($H71:$BH71),  " ",   "x")))</f>
        <v xml:space="preserve"> </v>
      </c>
      <c r="AP75" s="50" t="str">
        <f>IF(SUM($H73:AP73) &gt; SUM($H71:AP71),  " N/A", IF(SUM($H73:$BG73) = SUM($H71:$BH71),    " ",IF(AP73 = SUM($H71:$BH71),  " ",   "x")))</f>
        <v xml:space="preserve"> </v>
      </c>
      <c r="AQ75" s="50" t="str">
        <f>IF(SUM($H73:AQ73) &gt; SUM($H71:AQ71),  " N/A", IF(SUM($H73:$BG73) = SUM($H71:$BH71),    " ",IF(AQ73 = SUM($H71:$BH71),  " ",   "x")))</f>
        <v xml:space="preserve"> </v>
      </c>
      <c r="AR75" s="50" t="str">
        <f>IF(SUM($H73:AR73) &gt; SUM($H71:AR71),  " N/A", IF(SUM($H73:$BG73) = SUM($H71:$BH71),    " ",IF(AR73 = SUM($H71:$BH71),  " ",   "x")))</f>
        <v xml:space="preserve"> </v>
      </c>
      <c r="AS75" s="50" t="str">
        <f>IF(SUM($H73:AS73) &gt; SUM($H71:AS71),  " N/A", IF(SUM($H73:$BG73) = SUM($H71:$BH71),    " ",IF(AS73 = SUM($H71:$BH71),  " ",   "x")))</f>
        <v xml:space="preserve"> </v>
      </c>
      <c r="AT75" s="50" t="str">
        <f>IF(SUM($H73:AT73) &gt; SUM($H71:AT71),  " N/A", IF(SUM($H73:$BG73) = SUM($H71:$BH71),    " ",IF(AT73 = SUM($H71:$BH71),  " ",   "x")))</f>
        <v xml:space="preserve"> </v>
      </c>
      <c r="AU75" s="50" t="str">
        <f>IF(SUM($H73:AU73) &gt; SUM($H71:AU71),  " N/A", IF(SUM($H73:$BG73) = SUM($H71:$BH71),    " ",IF(AU73 = SUM($H71:$BH71),  " ",   "x")))</f>
        <v xml:space="preserve"> </v>
      </c>
      <c r="AV75" s="50" t="str">
        <f>IF(SUM($H73:AV73) &gt; SUM($H71:AV71),  " N/A", IF(SUM($H73:$BG73) = SUM($H71:$BH71),    " ",IF(AV73 = SUM($H71:$BH71),  " ",   "x")))</f>
        <v xml:space="preserve"> </v>
      </c>
      <c r="AW75" s="50" t="str">
        <f>IF(SUM($H73:AW73) &gt; SUM($H71:AW71),  " N/A", IF(SUM($H73:$BG73) = SUM($H71:$BH71),    " ",IF(AW73 = SUM($H71:$BH71),  " ",   "x")))</f>
        <v xml:space="preserve"> </v>
      </c>
      <c r="AX75" s="50" t="str">
        <f>IF(SUM($H73:AX73) &gt; SUM($H71:AX71),  " N/A", IF(SUM($H73:$BG73) = SUM($H71:$BH71),    " ",IF(AX73 = SUM($H71:$BH71),  " ",   "x")))</f>
        <v xml:space="preserve"> </v>
      </c>
      <c r="AY75" s="50" t="str">
        <f>IF(SUM($H73:AY73) &gt; SUM($H71:AY71),  " N/A", IF(SUM($H73:$BG73) = SUM($H71:$BH71),    " ",IF(AY73 = SUM($H71:$BH71),  " ",   "x")))</f>
        <v xml:space="preserve"> </v>
      </c>
      <c r="AZ75" s="50" t="str">
        <f>IF(SUM($H73:AZ73) &gt; SUM($H71:AZ71),  " N/A", IF(SUM($H73:$BG73) = SUM($H71:$BH71),    " ",IF(AZ73 = SUM($H71:$BH71),  " ",   "x")))</f>
        <v xml:space="preserve"> </v>
      </c>
      <c r="BA75" s="50" t="str">
        <f>IF(SUM($H73:BA73) &gt; SUM($H71:BA71),  " N/A", IF(SUM($H73:$BG73) = SUM($H71:$BH71),    " ",IF(BA73 = SUM($H71:$BH71),  " ",   "x")))</f>
        <v xml:space="preserve"> </v>
      </c>
      <c r="BB75" s="50" t="str">
        <f>IF(SUM($H73:BB73) &gt; SUM($H71:BB71),  " N/A", IF(SUM($H73:$BG73) = SUM($H71:$BH71),    " ",IF(BB73 = SUM($H71:$BH71),  " ",   "x")))</f>
        <v xml:space="preserve"> </v>
      </c>
      <c r="BC75" s="50" t="str">
        <f>IF(SUM($H73:BC73) &gt; SUM($H71:BC71),  " N/A", IF(SUM($H73:$BG73) = SUM($H71:$BH71),    " ",IF(BC73 = SUM($H71:$BH71),  " ",   "x")))</f>
        <v xml:space="preserve"> </v>
      </c>
      <c r="BD75" s="50" t="str">
        <f>IF(SUM($H73:BD73) &gt; SUM($H71:BD71),  " N/A", IF(SUM($H73:$BG73) = SUM($H71:$BH71),    " ",IF(BD73 = SUM($H71:$BH71),  " ",   "x")))</f>
        <v xml:space="preserve"> </v>
      </c>
      <c r="BE75" s="50" t="str">
        <f>IF(SUM($H73:BE73) &gt; SUM($H71:BE71),  " N/A", IF(SUM($H73:$BG73) = SUM($H71:$BH71),    " ",IF(BE73 = SUM($H71:$BH71),  " ",   "x")))</f>
        <v xml:space="preserve"> </v>
      </c>
      <c r="BF75" s="50" t="str">
        <f>IF(SUM($H73:BF73) &gt; SUM($H71:BF71),  " N/A", IF(SUM($H73:$BG73) = SUM($H71:$BH71),    " ",IF(BF73 = SUM($H71:$BH71),  " ",   "x")))</f>
        <v xml:space="preserve"> </v>
      </c>
      <c r="BG75" s="50" t="str">
        <f>IF(SUM($H73:BG73) &gt; SUM($H71:BG71),  " N/A", IF(SUM($H73:$BG73) = SUM($H71:$BH71),    " ",IF(BG73 = SUM($H71:$BH71),  " ",   "x")))</f>
        <v xml:space="preserve"> </v>
      </c>
      <c r="BH75" s="21"/>
    </row>
    <row r="76" spans="2:60" ht="15.6" x14ac:dyDescent="0.3">
      <c r="B76" s="71"/>
      <c r="C76" s="77"/>
      <c r="D76" s="82" t="s">
        <v>249</v>
      </c>
      <c r="E76" s="54">
        <f>SUM(H76:BG76)</f>
        <v>16</v>
      </c>
      <c r="F76" s="115">
        <f>Gant_24!$E76-E78</f>
        <v>0</v>
      </c>
      <c r="H76" s="41"/>
      <c r="I76" s="42"/>
      <c r="J76" s="42"/>
      <c r="K76" s="42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>
        <v>16</v>
      </c>
      <c r="AD76" s="42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  <c r="BC76" s="51"/>
      <c r="BD76" s="51"/>
      <c r="BE76" s="51"/>
      <c r="BF76" s="51"/>
      <c r="BG76" s="51"/>
      <c r="BH76" s="21"/>
    </row>
    <row r="77" spans="2:60" ht="15.6" x14ac:dyDescent="0.3">
      <c r="B77" s="68"/>
      <c r="C77" s="78"/>
      <c r="D77" s="83" t="s">
        <v>261</v>
      </c>
      <c r="E77" s="55">
        <f>SUM(H77:BG77)</f>
        <v>0</v>
      </c>
      <c r="F77" s="116"/>
      <c r="H77" s="43"/>
      <c r="I77" s="44"/>
      <c r="J77" s="44"/>
      <c r="K77" s="44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  <c r="AA77" s="50"/>
      <c r="AB77" s="50"/>
      <c r="AC77" s="50"/>
      <c r="AD77" s="44"/>
      <c r="AE77" s="50"/>
      <c r="AF77" s="50"/>
      <c r="AG77" s="50"/>
      <c r="AH77" s="50"/>
      <c r="AI77" s="50"/>
      <c r="AJ77" s="50"/>
      <c r="AK77" s="50"/>
      <c r="AL77" s="50"/>
      <c r="AM77" s="50"/>
      <c r="AN77" s="50"/>
      <c r="AO77" s="50"/>
      <c r="AP77" s="50"/>
      <c r="AQ77" s="50"/>
      <c r="AR77" s="50"/>
      <c r="AS77" s="50"/>
      <c r="AT77" s="50"/>
      <c r="AU77" s="50"/>
      <c r="AV77" s="50"/>
      <c r="AW77" s="50"/>
      <c r="AX77" s="50"/>
      <c r="AY77" s="50"/>
      <c r="AZ77" s="50"/>
      <c r="BA77" s="50"/>
      <c r="BB77" s="50"/>
      <c r="BC77" s="50"/>
      <c r="BD77" s="50"/>
      <c r="BE77" s="50"/>
      <c r="BF77" s="50"/>
      <c r="BG77" s="50"/>
      <c r="BH77" s="21"/>
    </row>
    <row r="78" spans="2:60" ht="15.6" x14ac:dyDescent="0.3">
      <c r="B78" s="68" t="s">
        <v>88</v>
      </c>
      <c r="C78" s="78" t="s">
        <v>89</v>
      </c>
      <c r="D78" s="83" t="s">
        <v>241</v>
      </c>
      <c r="E78" s="55">
        <f>SUM(H78:BG78)</f>
        <v>16</v>
      </c>
      <c r="F78" s="116"/>
      <c r="H78" s="45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>
        <v>16</v>
      </c>
      <c r="AG78" s="46"/>
      <c r="AH78" s="46"/>
      <c r="AI78" s="46"/>
      <c r="AJ78" s="46"/>
      <c r="AK78" s="46"/>
      <c r="AL78" s="46"/>
      <c r="AM78" s="46"/>
      <c r="AN78" s="46"/>
      <c r="AO78" s="46"/>
      <c r="AP78" s="46"/>
      <c r="AQ78" s="46"/>
      <c r="AR78" s="46"/>
      <c r="AS78" s="46"/>
      <c r="AT78" s="46"/>
      <c r="AU78" s="46"/>
      <c r="AV78" s="46"/>
      <c r="AW78" s="46"/>
      <c r="AX78" s="46"/>
      <c r="AY78" s="46"/>
      <c r="AZ78" s="46"/>
      <c r="BA78" s="46"/>
      <c r="BB78" s="46"/>
      <c r="BC78" s="46"/>
      <c r="BD78" s="46"/>
      <c r="BE78" s="46"/>
      <c r="BF78" s="46"/>
      <c r="BG78" s="46"/>
      <c r="BH78" s="21"/>
    </row>
    <row r="79" spans="2:60" ht="15.6" x14ac:dyDescent="0.3">
      <c r="B79" s="68"/>
      <c r="C79" s="78"/>
      <c r="D79" s="83" t="s">
        <v>278</v>
      </c>
      <c r="E79" s="56">
        <f ca="1">MAX(H79:BG79)</f>
        <v>0</v>
      </c>
      <c r="F79" s="116"/>
      <c r="H79" s="47"/>
      <c r="I79" s="48"/>
      <c r="J79" s="48"/>
      <c r="K79" s="48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48"/>
      <c r="AB79" s="48"/>
      <c r="AC79" s="48" t="str">
        <f>IF(SUM(H76:BG76) = AC78, " 0 ", " ")</f>
        <v xml:space="preserve"> </v>
      </c>
      <c r="AD79" s="48" t="str">
        <f ca="1">IF(AD9&gt;WEEKNUM(TODAY())," ", IF(AD10="x",H9-(SUM($AC78:AC78)/SUM($AC76:$BG76)),IF(SUM($AC78:AD78)&gt;$AC76," ",H9-(SUM($AC78:AC78)/(SUM($AC76:$BG76))))))</f>
        <v xml:space="preserve"> </v>
      </c>
      <c r="AE79" s="48" t="str">
        <f ca="1">IF(AE9&gt;WEEKNUM(TODAY())," ", IF(AE10="x",I9-(SUM($AC78:AD78)/SUM($AC76:$BG76)),IF(SUM($AC78:AE78)&gt;$AC76," ",I9-(SUM($AC78:AD78)/(SUM($AC76:$BG76))))))</f>
        <v xml:space="preserve"> </v>
      </c>
      <c r="AF79" s="48" t="str">
        <f ca="1">IF(AF9&gt;WEEKNUM(TODAY())," ", IF(AF10="x",J9-(SUM($AC78:AE78)/SUM($AC76:$BG76)),IF(SUM($AC78:AF78)&gt;$AC76," ",J9-(SUM($AC78:AE78)/(SUM($AC76:$BG76))))))</f>
        <v xml:space="preserve"> </v>
      </c>
      <c r="AG79" s="48" t="str">
        <f ca="1">IF(AG9&gt;WEEKNUM(TODAY())," ", IF(AG10="x",K9-(SUM($AC78:AF78)/SUM($AC76:$BG76)),IF(SUM($AC78:AG78)&gt;$AC76," ",K9-(SUM($AC78:AF78)/(SUM($AC76:$BG76))))))</f>
        <v xml:space="preserve"> </v>
      </c>
      <c r="AH79" s="48" t="str">
        <f ca="1">IF(AH9&gt;WEEKNUM(TODAY())," ", IF(AH10="x",L9-(SUM($AC78:AG78)/SUM($AC76:$BG76)),IF(SUM($AC78:AH78)&gt;$AC76," ",L9-(SUM($AC78:AG78)/(SUM($AC76:$BG76))))))</f>
        <v xml:space="preserve"> </v>
      </c>
      <c r="AI79" s="48" t="str">
        <f ca="1">IF(AI9&gt;WEEKNUM(TODAY())," ", IF(AI10="x",M9-(SUM($AC78:AH78)/SUM($AC76:$BG76)),IF(SUM($AC78:AI78)&gt;$AC76," ",M9-(SUM($AC78:AH78)/(SUM($AC76:$BG76))))))</f>
        <v xml:space="preserve"> </v>
      </c>
      <c r="AJ79" s="48" t="str">
        <f ca="1">IF(AJ9&gt;WEEKNUM(TODAY())," ", IF(AJ10="x",N9-(SUM($AC78:AI78)/SUM($AC76:$BG76)),IF(SUM($AC78:AJ78)&gt;$AC76," ",N9-(SUM($AC78:AI78)/(SUM($AC76:$BG76))))))</f>
        <v xml:space="preserve"> </v>
      </c>
      <c r="AK79" s="48" t="str">
        <f ca="1">IF(AK9&gt;WEEKNUM(TODAY())," ", IF(AK10="x",O9-(SUM($AC78:AJ78)/SUM($AC76:$BG76)),IF(SUM($AC78:AK78)&gt;$AC76," ",O9-(SUM($AC78:AJ78)/(SUM($AC76:$BG76))))))</f>
        <v xml:space="preserve"> </v>
      </c>
      <c r="AL79" s="48" t="str">
        <f ca="1">IF(AL9&gt;WEEKNUM(TODAY())," ", IF(AL10="x",P9-(SUM($AC78:AK78)/SUM($AC76:$BG76)),IF(SUM($AC78:AL78)&gt;$AC76," ",P9-(SUM($AC78:AK78)/(SUM($AC76:$BG76))))))</f>
        <v xml:space="preserve"> </v>
      </c>
      <c r="AM79" s="48" t="str">
        <f ca="1">IF(AM9&gt;WEEKNUM(TODAY())," ", IF(AM10="x",Q9-(SUM($AC78:AL78)/SUM($AC76:$BG76)),IF(SUM($AC78:AM78)&gt;$AC76," ",Q9-(SUM($AC78:AL78)/(SUM($AC76:$BG76))))))</f>
        <v xml:space="preserve"> </v>
      </c>
      <c r="AN79" s="48" t="str">
        <f ca="1">IF(AN9&gt;WEEKNUM(TODAY())," ", IF(AN10="x",R9-(SUM($AC78:AM78)/SUM($AC76:$BG76)),IF(SUM($AC78:AN78)&gt;$AC76," ",R9-(SUM($AC78:AM78)/(SUM($AC76:$BG76))))))</f>
        <v xml:space="preserve"> </v>
      </c>
      <c r="AO79" s="48" t="str">
        <f ca="1">IF(AO9&gt;WEEKNUM(TODAY())," ", IF(AO10="x",S9-(SUM($AC78:AN78)/SUM($AC76:$BG76)),IF(SUM($AC78:AO78)&gt;$AC76," ",S9-(SUM($AC78:AN78)/(SUM($AC76:$BG76))))))</f>
        <v xml:space="preserve"> </v>
      </c>
      <c r="AP79" s="48" t="str">
        <f ca="1">IF(AP9&gt;WEEKNUM(TODAY())," ", IF(AP10="x",T9-(SUM($AC78:AO78)/SUM($AC76:$BG76)),IF(SUM($AC78:AP78)&gt;$AC76," ",T9-(SUM($AC78:AO78)/(SUM($AC76:$BG76))))))</f>
        <v xml:space="preserve"> </v>
      </c>
      <c r="AQ79" s="48" t="str">
        <f ca="1">IF(AQ9&gt;WEEKNUM(TODAY())," ", IF(AQ10="x",U9-(SUM($AC78:AP78)/SUM($AC76:$BG76)),IF(SUM($AC78:AQ78)&gt;$AC76," ",U9-(SUM($AC78:AP78)/(SUM($AC76:$BG76))))))</f>
        <v xml:space="preserve"> </v>
      </c>
      <c r="AR79" s="48" t="str">
        <f ca="1">IF(AR9&gt;WEEKNUM(TODAY())," ", IF(AR10="x",V9-(SUM($AC78:AQ78)/SUM($AC76:$BG76)),IF(SUM($AC78:AR78)&gt;$AC76," ",V9-(SUM($AC78:AQ78)/(SUM($AC76:$BG76))))))</f>
        <v xml:space="preserve"> </v>
      </c>
      <c r="AS79" s="48" t="str">
        <f ca="1">IF(AS9&gt;WEEKNUM(TODAY())," ", IF(AS10="x",W9-(SUM($AC78:AR78)/SUM($AC76:$BG76)),IF(SUM($AC78:AS78)&gt;$AC76," ",W9-(SUM($AC78:AR78)/(SUM($AC76:$BG76))))))</f>
        <v xml:space="preserve"> </v>
      </c>
      <c r="AT79" s="48" t="str">
        <f ca="1">IF(AT9&gt;WEEKNUM(TODAY())," ", IF(AT10="x",X9-(SUM($AC78:AS78)/SUM($AC76:$BG76)),IF(SUM($AC78:AT78)&gt;$AC76," ",X9-(SUM($AC78:AS78)/(SUM($AC76:$BG76))))))</f>
        <v xml:space="preserve"> </v>
      </c>
      <c r="AU79" s="48" t="str">
        <f ca="1">IF(AU9&gt;WEEKNUM(TODAY())," ", IF(AU10="x",Y9-(SUM($AC78:AT78)/SUM($AC76:$BG76)),IF(SUM($AC78:AU78)&gt;$AC76," ",Y9-(SUM($AC78:AT78)/(SUM($AC76:$BG76))))))</f>
        <v xml:space="preserve"> </v>
      </c>
      <c r="AV79" s="48" t="str">
        <f ca="1">IF(AV9&gt;WEEKNUM(TODAY())," ", IF(AV10="x",Z9-(SUM($AC78:AU78)/SUM($AC76:$BG76)),IF(SUM($AC78:AV78)&gt;$AC76," ",Z9-(SUM($AC78:AU78)/(SUM($AC76:$BG76))))))</f>
        <v xml:space="preserve"> </v>
      </c>
      <c r="AW79" s="48" t="str">
        <f ca="1">IF(AW9&gt;WEEKNUM(TODAY())," ", IF(AW10="x",AA9-(SUM($AC78:AV78)/SUM($AC76:$BG76)),IF(SUM($AC78:AW78)&gt;$AC76," ",AA9-(SUM($AC78:AV78)/(SUM($AC76:$BG76))))))</f>
        <v xml:space="preserve"> </v>
      </c>
      <c r="AX79" s="48" t="str">
        <f ca="1">IF(AX9&gt;WEEKNUM(TODAY())," ", IF(AX10="x",AB9-(SUM($AC78:AW78)/SUM($AC76:$BG76)),IF(SUM($AC78:AX78)&gt;$AC76," ",AB9-(SUM($AC78:AW78)/(SUM($AC76:$BG76))))))</f>
        <v xml:space="preserve"> </v>
      </c>
      <c r="AY79" s="48" t="str">
        <f ca="1">IF(AY9&gt;WEEKNUM(TODAY())," ", IF(AY10="x",AC9-(SUM($AC78:AX78)/SUM($AC76:$BG76)),IF(SUM($AC78:AY78)&gt;$AC76," ",AC9-(SUM($AC78:AX78)/(SUM($AC76:$BG76))))))</f>
        <v xml:space="preserve"> </v>
      </c>
      <c r="AZ79" s="48" t="str">
        <f ca="1">IF(AZ9&gt;WEEKNUM(TODAY())," ", IF(AZ10="x",AD9-(SUM($AC78:AY78)/SUM($AC76:$BG76)),IF(SUM($AC78:AZ78)&gt;$AC76," ",AD9-(SUM($AC78:AY78)/(SUM($AC76:$BG76))))))</f>
        <v xml:space="preserve"> </v>
      </c>
      <c r="BA79" s="48" t="str">
        <f ca="1">IF(BA9&gt;WEEKNUM(TODAY())," ", IF(BA10="x",AE9-(SUM($AC78:AZ78)/SUM($AC76:$BG76)),IF(SUM($AC78:BA78)&gt;$AC76," ",AE9-(SUM($AC78:AZ78)/(SUM($AC76:$BG76))))))</f>
        <v xml:space="preserve"> </v>
      </c>
      <c r="BB79" s="48" t="str">
        <f ca="1">IF(BB9&gt;WEEKNUM(TODAY())," ", IF(BB10="x",AF9-(SUM($AC78:BA78)/SUM($AC76:$BG76)),IF(SUM($AC78:BB78)&gt;$AC76," ",AF9-(SUM($AC78:BA78)/(SUM($AC76:$BG76))))))</f>
        <v xml:space="preserve"> </v>
      </c>
      <c r="BC79" s="48" t="str">
        <f ca="1">IF(BC9&gt;WEEKNUM(TODAY())," ", IF(BC10="x",AG9-(SUM($AC78:BB78)/SUM($AC76:$BG76)),IF(SUM($AC78:BC78)&gt;$AC76," ",AG9-(SUM($AC78:BB78)/(SUM($AC76:$BG76))))))</f>
        <v xml:space="preserve"> </v>
      </c>
      <c r="BD79" s="48" t="str">
        <f ca="1">IF(BD9&gt;WEEKNUM(TODAY())," ", IF(BD10="x",AH9-(SUM($AC78:BC78)/SUM($AC76:$BG76)),IF(SUM($AC78:BD78)&gt;$AC76," ",AH9-(SUM($AC78:BC78)/(SUM($AC76:$BG76))))))</f>
        <v xml:space="preserve"> </v>
      </c>
      <c r="BE79" s="48" t="str">
        <f ca="1">IF(BE9&gt;WEEKNUM(TODAY())," ", IF(BE10="x",AI9-(SUM($AC78:BD78)/SUM($AC76:$BG76)),IF(SUM($AC78:BE78)&gt;$AC76," ",AI9-(SUM($AC78:BD78)/(SUM($AC76:$BG76))))))</f>
        <v xml:space="preserve"> </v>
      </c>
      <c r="BF79" s="48" t="str">
        <f ca="1">IF(BF9&gt;WEEKNUM(TODAY())," ", IF(BF10="x",AJ9-(SUM($AC78:BE78)/SUM($AC76:$BG76)),IF(SUM($AC78:BF78)&gt;$AC76," ",AJ9-(SUM($AC78:BE78)/(SUM($AC76:$BG76))))))</f>
        <v xml:space="preserve"> </v>
      </c>
      <c r="BG79" s="48" t="str">
        <f ca="1">IF(BG9&gt;WEEKNUM(TODAY())," ", IF(BG10="x",AK9-(SUM($AC78:BF78)/SUM($AC76:$BG76)),IF(SUM($AC78:BG78)&gt;$AC76," ",AK9-(SUM($AC78:BF78)/(SUM($AC76:$BG76))))))</f>
        <v xml:space="preserve"> </v>
      </c>
      <c r="BH79" s="21"/>
    </row>
    <row r="80" spans="2:60" ht="16.2" thickBot="1" x14ac:dyDescent="0.35">
      <c r="B80" s="70"/>
      <c r="C80" s="79"/>
      <c r="D80" s="84"/>
      <c r="E80" s="57"/>
      <c r="F80" s="117"/>
      <c r="H80" s="49" t="str">
        <f>IF(H76= " ", " ",IF(H78&gt;SUM($H76:$BG76), " N/A", IF(SUM($H78:$BG78)=SUM($H76:BG76), " ", IF(H78=SUM($H76:BG76), " ", "x"))))</f>
        <v xml:space="preserve"> </v>
      </c>
      <c r="I80" s="50" t="str">
        <f>IF(SUM($H78:I78) &gt; SUM($H76:I76),  " N/A", IF(SUM($H78:$BG78) = SUM($H76:$BH76),    " ",IF(I78 = SUM($H76:$BH76),  " ",   "x")))</f>
        <v xml:space="preserve"> </v>
      </c>
      <c r="J80" s="50" t="str">
        <f>IF(SUM($H78:J78) &gt; SUM($H76:J76),  " N/A", IF(SUM($H78:$BG78) = SUM($H76:$BH76),    " ",IF(J78 = SUM($H76:$BH76),  " ",   "x")))</f>
        <v xml:space="preserve"> </v>
      </c>
      <c r="K80" s="50" t="str">
        <f>IF(SUM($H78:K78) &gt; SUM($H76:K76),  " N/A", IF(SUM($H78:$BG78) = SUM($H76:$BH76),    " ",IF(K78 = SUM($H76:$BH76),  " ",   "x")))</f>
        <v xml:space="preserve"> </v>
      </c>
      <c r="L80" s="50" t="str">
        <f>IF(SUM($H78:L78) &gt; SUM($H76:L76),  " N/A", IF(SUM($H78:$BG78) = SUM($H76:$BH76),    " ",IF(L78 = SUM($H76:$BH76),  " ",   "x")))</f>
        <v xml:space="preserve"> </v>
      </c>
      <c r="M80" s="50" t="str">
        <f>IF(SUM($H78:M78) &gt; SUM($H76:M76),  " N/A", IF(SUM($H78:$BG78) = SUM($H76:$BH76),    " ",IF(M78 = SUM($H76:$BH76),  " ",   "x")))</f>
        <v xml:space="preserve"> </v>
      </c>
      <c r="N80" s="50" t="str">
        <f>IF(SUM($H78:N78) &gt; SUM($H76:N76),  " N/A", IF(SUM($H78:$BG78) = SUM($H76:$BH76),    " ",IF(N78 = SUM($H76:$BH76),  " ",   "x")))</f>
        <v xml:space="preserve"> </v>
      </c>
      <c r="O80" s="50" t="str">
        <f>IF(SUM($H78:O78) &gt; SUM($H76:O76),  " N/A", IF(SUM($H78:$BG78) = SUM($H76:$BH76),    " ",IF(O78 = SUM($H76:$BH76),  " ",   "x")))</f>
        <v xml:space="preserve"> </v>
      </c>
      <c r="P80" s="50" t="str">
        <f>IF(SUM($H78:P78) &gt; SUM($H76:P76),  " N/A", IF(SUM($H78:$BG78) = SUM($H76:$BH76),    " ",IF(P78 = SUM($H76:$BH76),  " ",   "x")))</f>
        <v xml:space="preserve"> </v>
      </c>
      <c r="Q80" s="50" t="str">
        <f>IF(SUM($H78:Q78) &gt; SUM($H76:Q76),  " N/A", IF(SUM($H78:$BG78) = SUM($H76:$BH76),    " ",IF(Q78 = SUM($H76:$BH76),  " ",   "x")))</f>
        <v xml:space="preserve"> </v>
      </c>
      <c r="R80" s="50" t="str">
        <f>IF(SUM($H78:R78) &gt; SUM($H76:R76),  " N/A", IF(SUM($H78:$BG78) = SUM($H76:$BH76),    " ",IF(R78 = SUM($H76:$BH76),  " ",   "x")))</f>
        <v xml:space="preserve"> </v>
      </c>
      <c r="S80" s="50" t="str">
        <f>IF(SUM($H78:S78) &gt; SUM($H76:S76),  " N/A", IF(SUM($H78:$BG78) = SUM($H76:$BH76),    " ",IF(S78 = SUM($H76:$BH76),  " ",   "x")))</f>
        <v xml:space="preserve"> </v>
      </c>
      <c r="T80" s="50" t="str">
        <f>IF(SUM($H78:T78) &gt; SUM($H76:T76),  " N/A", IF(SUM($H78:$BG78) = SUM($H76:$BH76),    " ",IF(T78 = SUM($H76:$BH76),  " ",   "x")))</f>
        <v xml:space="preserve"> </v>
      </c>
      <c r="U80" s="50" t="str">
        <f>IF(SUM($H78:U78) &gt; SUM($H76:U76),  " N/A", IF(SUM($H78:$BG78) = SUM($H76:$BH76),    " ",IF(U78 = SUM($H76:$BH76),  " ",   "x")))</f>
        <v xml:space="preserve"> </v>
      </c>
      <c r="V80" s="50" t="str">
        <f>IF(SUM($H78:V78) &gt; SUM($H76:V76),  " N/A", IF(SUM($H78:$BG78) = SUM($H76:$BH76),    " ",IF(V78 = SUM($H76:$BH76),  " ",   "x")))</f>
        <v xml:space="preserve"> </v>
      </c>
      <c r="W80" s="50" t="str">
        <f>IF(SUM($H78:W78) &gt; SUM($H76:W76),  " N/A", IF(SUM($H78:$BG78) = SUM($H76:$BH76),    " ",IF(W78 = SUM($H76:$BH76),  " ",   "x")))</f>
        <v xml:space="preserve"> </v>
      </c>
      <c r="X80" s="50" t="str">
        <f>IF(SUM($H78:X78) &gt; SUM($H76:X76),  " N/A", IF(SUM($H78:$BG78) = SUM($H76:$BH76),    " ",IF(X78 = SUM($H76:$BH76),  " ",   "x")))</f>
        <v xml:space="preserve"> </v>
      </c>
      <c r="Y80" s="50" t="str">
        <f>IF(SUM($H78:Y78) &gt; SUM($H76:Y76),  " N/A", IF(SUM($H78:$BG78) = SUM($H76:$BH76),    " ",IF(Y78 = SUM($H76:$BH76),  " ",   "x")))</f>
        <v xml:space="preserve"> </v>
      </c>
      <c r="Z80" s="50" t="str">
        <f>IF(SUM($H78:Z78) &gt; SUM($H76:Z76),  " N/A", IF(SUM($H78:$BG78) = SUM($H76:$BH76),    " ",IF(Z78 = SUM($H76:$BH76),  " ",   "x")))</f>
        <v xml:space="preserve"> </v>
      </c>
      <c r="AA80" s="50" t="str">
        <f>IF(SUM($H78:AA78) &gt; SUM($H76:AA76),  " N/A", IF(SUM($H78:$BG78) = SUM($H76:$BH76),    " ",IF(AA78 = SUM($H76:$BH76),  " ",   "x")))</f>
        <v xml:space="preserve"> </v>
      </c>
      <c r="AB80" s="50" t="str">
        <f>IF(SUM($H78:AB78) &gt; SUM($H76:AB76),  " N/A", IF(SUM($H78:$BG78) = SUM($H76:$BH76),    " ",IF(AB78 = SUM($H76:$BH76),  " ",   "x")))</f>
        <v xml:space="preserve"> </v>
      </c>
      <c r="AC80" s="50" t="str">
        <f>IF(SUM($H78:AC78) &gt; SUM($H76:AC76),  " N/A", IF(SUM($H78:$BG78) = SUM($H76:$BH76),    " ",IF(AC78 = SUM($H76:$BH76),  " ",   "x")))</f>
        <v xml:space="preserve"> </v>
      </c>
      <c r="AD80" s="50" t="str">
        <f>IF(SUM($H78:AD78) &gt; SUM($H76:AD76),  " N/A", IF(SUM($H78:$BG78) = SUM($H76:$BH76),    " ",IF(AD78 = SUM($H76:$BH76),  " ",   "x")))</f>
        <v xml:space="preserve"> </v>
      </c>
      <c r="AE80" s="50" t="str">
        <f>IF(SUM($H78:AE78) &gt; SUM($H76:AE76),  " N/A", IF(SUM($H78:$BG78) = SUM($H76:$BH76),    " ",IF(AE78 = SUM($H76:$BH76),  " ",   "x")))</f>
        <v xml:space="preserve"> </v>
      </c>
      <c r="AF80" s="50" t="str">
        <f>IF(SUM($H78:AF78) &gt; SUM($H76:AF76),  " N/A", IF(SUM($H78:$BG78) = SUM($H76:$BH76),    " ",IF(AF78 = SUM($H76:$BH76),  " ",   "x")))</f>
        <v xml:space="preserve"> </v>
      </c>
      <c r="AG80" s="50" t="str">
        <f>IF(SUM($H78:AG78) &gt; SUM($H76:AG76),  " N/A", IF(SUM($H78:$BG78) = SUM($H76:$BH76),    " ",IF(AG78 = SUM($H76:$BH76),  " ",   "x")))</f>
        <v xml:space="preserve"> </v>
      </c>
      <c r="AH80" s="50" t="str">
        <f>IF(SUM($H78:AH78) &gt; SUM($H76:AH76),  " N/A", IF(SUM($H78:$BG78) = SUM($H76:$BH76),    " ",IF(AH78 = SUM($H76:$BH76),  " ",   "x")))</f>
        <v xml:space="preserve"> </v>
      </c>
      <c r="AI80" s="50" t="str">
        <f>IF(SUM($H78:AI78) &gt; SUM($H76:AI76),  " N/A", IF(SUM($H78:$BG78) = SUM($H76:$BH76),    " ",IF(AI78 = SUM($H76:$BH76),  " ",   "x")))</f>
        <v xml:space="preserve"> </v>
      </c>
      <c r="AJ80" s="50" t="str">
        <f>IF(SUM($H78:AJ78) &gt; SUM($H76:AJ76),  " N/A", IF(SUM($H78:$BG78) = SUM($H76:$BH76),    " ",IF(AJ78 = SUM($H76:$BH76),  " ",   "x")))</f>
        <v xml:space="preserve"> </v>
      </c>
      <c r="AK80" s="50" t="str">
        <f>IF(SUM($H78:AK78) &gt; SUM($H76:AK76),  " N/A", IF(SUM($H78:$BG78) = SUM($H76:$BH76),    " ",IF(AK78 = SUM($H76:$BH76),  " ",   "x")))</f>
        <v xml:space="preserve"> </v>
      </c>
      <c r="AL80" s="50" t="str">
        <f>IF(SUM($H78:AL78) &gt; SUM($H76:AL76),  " N/A", IF(SUM($H78:$BG78) = SUM($H76:$BH76),    " ",IF(AL78 = SUM($H76:$BH76),  " ",   "x")))</f>
        <v xml:space="preserve"> </v>
      </c>
      <c r="AM80" s="50" t="str">
        <f>IF(SUM($H78:AM78) &gt; SUM($H76:AM76),  " N/A", IF(SUM($H78:$BG78) = SUM($H76:$BH76),    " ",IF(AM78 = SUM($H76:$BH76),  " ",   "x")))</f>
        <v xml:space="preserve"> </v>
      </c>
      <c r="AN80" s="50" t="str">
        <f>IF(SUM($H78:AN78) &gt; SUM($H76:AN76),  " N/A", IF(SUM($H78:$BG78) = SUM($H76:$BH76),    " ",IF(AN78 = SUM($H76:$BH76),  " ",   "x")))</f>
        <v xml:space="preserve"> </v>
      </c>
      <c r="AO80" s="50" t="str">
        <f>IF(SUM($H78:AO78) &gt; SUM($H76:AO76),  " N/A", IF(SUM($H78:$BG78) = SUM($H76:$BH76),    " ",IF(AO78 = SUM($H76:$BH76),  " ",   "x")))</f>
        <v xml:space="preserve"> </v>
      </c>
      <c r="AP80" s="50" t="str">
        <f>IF(SUM($H78:AP78) &gt; SUM($H76:AP76),  " N/A", IF(SUM($H78:$BG78) = SUM($H76:$BH76),    " ",IF(AP78 = SUM($H76:$BH76),  " ",   "x")))</f>
        <v xml:space="preserve"> </v>
      </c>
      <c r="AQ80" s="50" t="str">
        <f>IF(SUM($H78:AQ78) &gt; SUM($H76:AQ76),  " N/A", IF(SUM($H78:$BG78) = SUM($H76:$BH76),    " ",IF(AQ78 = SUM($H76:$BH76),  " ",   "x")))</f>
        <v xml:space="preserve"> </v>
      </c>
      <c r="AR80" s="50" t="str">
        <f>IF(SUM($H78:AR78) &gt; SUM($H76:AR76),  " N/A", IF(SUM($H78:$BG78) = SUM($H76:$BH76),    " ",IF(AR78 = SUM($H76:$BH76),  " ",   "x")))</f>
        <v xml:space="preserve"> </v>
      </c>
      <c r="AS80" s="50" t="str">
        <f>IF(SUM($H78:AS78) &gt; SUM($H76:AS76),  " N/A", IF(SUM($H78:$BG78) = SUM($H76:$BH76),    " ",IF(AS78 = SUM($H76:$BH76),  " ",   "x")))</f>
        <v xml:space="preserve"> </v>
      </c>
      <c r="AT80" s="50" t="str">
        <f>IF(SUM($H78:AT78) &gt; SUM($H76:AT76),  " N/A", IF(SUM($H78:$BG78) = SUM($H76:$BH76),    " ",IF(AT78 = SUM($H76:$BH76),  " ",   "x")))</f>
        <v xml:space="preserve"> </v>
      </c>
      <c r="AU80" s="50" t="str">
        <f>IF(SUM($H78:AU78) &gt; SUM($H76:AU76),  " N/A", IF(SUM($H78:$BG78) = SUM($H76:$BH76),    " ",IF(AU78 = SUM($H76:$BH76),  " ",   "x")))</f>
        <v xml:space="preserve"> </v>
      </c>
      <c r="AV80" s="50" t="str">
        <f>IF(SUM($H78:AV78) &gt; SUM($H76:AV76),  " N/A", IF(SUM($H78:$BG78) = SUM($H76:$BH76),    " ",IF(AV78 = SUM($H76:$BH76),  " ",   "x")))</f>
        <v xml:space="preserve"> </v>
      </c>
      <c r="AW80" s="50" t="str">
        <f>IF(SUM($H78:AW78) &gt; SUM($H76:AW76),  " N/A", IF(SUM($H78:$BG78) = SUM($H76:$BH76),    " ",IF(AW78 = SUM($H76:$BH76),  " ",   "x")))</f>
        <v xml:space="preserve"> </v>
      </c>
      <c r="AX80" s="50" t="str">
        <f>IF(SUM($H78:AX78) &gt; SUM($H76:AX76),  " N/A", IF(SUM($H78:$BG78) = SUM($H76:$BH76),    " ",IF(AX78 = SUM($H76:$BH76),  " ",   "x")))</f>
        <v xml:space="preserve"> </v>
      </c>
      <c r="AY80" s="50" t="str">
        <f>IF(SUM($H78:AY78) &gt; SUM($H76:AY76),  " N/A", IF(SUM($H78:$BG78) = SUM($H76:$BH76),    " ",IF(AY78 = SUM($H76:$BH76),  " ",   "x")))</f>
        <v xml:space="preserve"> </v>
      </c>
      <c r="AZ80" s="50" t="str">
        <f>IF(SUM($H78:AZ78) &gt; SUM($H76:AZ76),  " N/A", IF(SUM($H78:$BG78) = SUM($H76:$BH76),    " ",IF(AZ78 = SUM($H76:$BH76),  " ",   "x")))</f>
        <v xml:space="preserve"> </v>
      </c>
      <c r="BA80" s="50" t="str">
        <f>IF(SUM($H78:BA78) &gt; SUM($H76:BA76),  " N/A", IF(SUM($H78:$BG78) = SUM($H76:$BH76),    " ",IF(BA78 = SUM($H76:$BH76),  " ",   "x")))</f>
        <v xml:space="preserve"> </v>
      </c>
      <c r="BB80" s="50" t="str">
        <f>IF(SUM($H78:BB78) &gt; SUM($H76:BB76),  " N/A", IF(SUM($H78:$BG78) = SUM($H76:$BH76),    " ",IF(BB78 = SUM($H76:$BH76),  " ",   "x")))</f>
        <v xml:space="preserve"> </v>
      </c>
      <c r="BC80" s="50" t="str">
        <f>IF(SUM($H78:BC78) &gt; SUM($H76:BC76),  " N/A", IF(SUM($H78:$BG78) = SUM($H76:$BH76),    " ",IF(BC78 = SUM($H76:$BH76),  " ",   "x")))</f>
        <v xml:space="preserve"> </v>
      </c>
      <c r="BD80" s="50" t="str">
        <f>IF(SUM($H78:BD78) &gt; SUM($H76:BD76),  " N/A", IF(SUM($H78:$BG78) = SUM($H76:$BH76),    " ",IF(BD78 = SUM($H76:$BH76),  " ",   "x")))</f>
        <v xml:space="preserve"> </v>
      </c>
      <c r="BE80" s="50" t="str">
        <f>IF(SUM($H78:BE78) &gt; SUM($H76:BE76),  " N/A", IF(SUM($H78:$BG78) = SUM($H76:$BH76),    " ",IF(BE78 = SUM($H76:$BH76),  " ",   "x")))</f>
        <v xml:space="preserve"> </v>
      </c>
      <c r="BF80" s="50" t="str">
        <f>IF(SUM($H78:BF78) &gt; SUM($H76:BF76),  " N/A", IF(SUM($H78:$BG78) = SUM($H76:$BH76),    " ",IF(BF78 = SUM($H76:$BH76),  " ",   "x")))</f>
        <v xml:space="preserve"> </v>
      </c>
      <c r="BG80" s="50" t="str">
        <f>IF(SUM($H78:BG78) &gt; SUM($H76:BG76),  " N/A", IF(SUM($H78:$BG78) = SUM($H76:$BH76),    " ",IF(BG78 = SUM($H76:$BH76),  " ",   "x")))</f>
        <v xml:space="preserve"> </v>
      </c>
      <c r="BH80" s="21"/>
    </row>
    <row r="81" spans="2:60" ht="15.6" x14ac:dyDescent="0.3">
      <c r="B81" s="71"/>
      <c r="C81" s="77"/>
      <c r="D81" s="82" t="s">
        <v>249</v>
      </c>
      <c r="E81" s="54">
        <f>SUM(H81:BG81)</f>
        <v>16</v>
      </c>
      <c r="F81" s="115">
        <f>Gant_24!$E81-E83</f>
        <v>0</v>
      </c>
      <c r="H81" s="41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>
        <v>16</v>
      </c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42"/>
      <c r="BH81" s="21"/>
    </row>
    <row r="82" spans="2:60" ht="15.6" x14ac:dyDescent="0.3">
      <c r="B82" s="68"/>
      <c r="C82" s="78"/>
      <c r="D82" s="83" t="s">
        <v>261</v>
      </c>
      <c r="E82" s="55">
        <f>SUM(H82:BG82)</f>
        <v>0</v>
      </c>
      <c r="F82" s="116"/>
      <c r="H82" s="43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  <c r="AR82" s="44"/>
      <c r="AS82" s="44"/>
      <c r="AT82" s="44"/>
      <c r="AU82" s="44"/>
      <c r="AV82" s="44"/>
      <c r="AW82" s="44"/>
      <c r="AX82" s="44"/>
      <c r="AY82" s="44"/>
      <c r="AZ82" s="44"/>
      <c r="BA82" s="44"/>
      <c r="BB82" s="44"/>
      <c r="BC82" s="44"/>
      <c r="BD82" s="44"/>
      <c r="BE82" s="44"/>
      <c r="BF82" s="44"/>
      <c r="BG82" s="44"/>
      <c r="BH82" s="21"/>
    </row>
    <row r="83" spans="2:60" ht="15.6" x14ac:dyDescent="0.3">
      <c r="B83" s="68" t="s">
        <v>91</v>
      </c>
      <c r="C83" s="78" t="s">
        <v>92</v>
      </c>
      <c r="D83" s="83" t="s">
        <v>241</v>
      </c>
      <c r="E83" s="55">
        <f>SUM(H83:BG83)</f>
        <v>16</v>
      </c>
      <c r="F83" s="116"/>
      <c r="H83" s="45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>
        <v>16</v>
      </c>
      <c r="AG83" s="46"/>
      <c r="AH83" s="46"/>
      <c r="AI83" s="46"/>
      <c r="AJ83" s="46"/>
      <c r="AK83" s="46"/>
      <c r="AL83" s="46"/>
      <c r="AM83" s="46"/>
      <c r="AN83" s="46"/>
      <c r="AO83" s="46"/>
      <c r="AP83" s="46"/>
      <c r="AQ83" s="46"/>
      <c r="AR83" s="46"/>
      <c r="AS83" s="46"/>
      <c r="AT83" s="46"/>
      <c r="AU83" s="46"/>
      <c r="AV83" s="46"/>
      <c r="AW83" s="46"/>
      <c r="AX83" s="46"/>
      <c r="AY83" s="46"/>
      <c r="AZ83" s="46"/>
      <c r="BA83" s="46"/>
      <c r="BB83" s="46"/>
      <c r="BC83" s="46"/>
      <c r="BD83" s="46"/>
      <c r="BE83" s="46"/>
      <c r="BF83" s="46"/>
      <c r="BG83" s="46"/>
      <c r="BH83" s="21"/>
    </row>
    <row r="84" spans="2:60" ht="15.6" x14ac:dyDescent="0.3">
      <c r="B84" s="68"/>
      <c r="C84" s="78"/>
      <c r="D84" s="83" t="s">
        <v>278</v>
      </c>
      <c r="E84" s="56">
        <f ca="1">MAX(H84:BG84)</f>
        <v>0</v>
      </c>
      <c r="F84" s="116"/>
      <c r="H84" s="47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 t="str">
        <f>IF(SUM(H81:BG81) = AC83, " 0 ", " ")</f>
        <v xml:space="preserve"> </v>
      </c>
      <c r="AD84" s="48" t="str">
        <f ca="1">IF(AD9&gt;WEEKNUM(TODAY())," ", IF(AND(AD10="x",SUM($AC83:AD83)&gt;$AC81),H9-(SUM($AC83:AC83)/SUM($AC81:$BG81)),IF(SUM($AC83:AD83)&gt;$AC81," ",H9-(SUM($AC83:AC83)/(SUM($AC81:$BG81))))))</f>
        <v xml:space="preserve"> </v>
      </c>
      <c r="AE84" s="48" t="str">
        <f ca="1">IF(AE9&gt;WEEKNUM(TODAY())," ", IF(AND(AE10="x",SUM($AC83:AE83)&gt;$AC81),I9-(SUM($AC83:AD83)/SUM($AC81:$BG81)),IF(SUM($AC83:AE83)&gt;$AC81," ",I9-(SUM($AC83:AD83)/(SUM($AC81:$BG81))))))</f>
        <v xml:space="preserve"> </v>
      </c>
      <c r="AF84" s="48" t="str">
        <f ca="1">IF(AF9&gt;WEEKNUM(TODAY())," ", IF(AND(AF10="x",SUM($AC83:AF83)&gt;$AC81),J9-(SUM($AC83:AE83)/SUM($AC81:$BG81)),IF(SUM($AC83:AF83)&gt;$AC81," ",J9-(SUM($AC83:AE83)/(SUM($AC81:$BG81))))))</f>
        <v xml:space="preserve"> </v>
      </c>
      <c r="AG84" s="48" t="str">
        <f ca="1">IF(AG9&gt;WEEKNUM(TODAY())," ", IF(AND(AG10="x",SUM($AC83:AG83)&gt;$AC81),K9-(SUM($AC83:AF83)/SUM($AC81:$BG81)),IF(SUM($AC83:AG83)&gt;$AC81," ",K9-(SUM($AC83:AF83)/(SUM($AC81:$BG81))))))</f>
        <v xml:space="preserve"> </v>
      </c>
      <c r="AH84" s="48" t="str">
        <f ca="1">IF(AH9&gt;WEEKNUM(TODAY())," ", IF(AND(AH10="x",SUM($AC83:AH83)&gt;$AC81),L9-(SUM($AC83:AG83)/SUM($AC81:$BG81)),IF(SUM($AC83:AH83)&gt;$AC81," ",L9-(SUM($AC83:AG83)/(SUM($AC81:$BG81))))))</f>
        <v xml:space="preserve"> </v>
      </c>
      <c r="AI84" s="48" t="str">
        <f ca="1">IF(AI9&gt;WEEKNUM(TODAY())," ", IF(AND(AI10="x",SUM($AC83:AI83)&gt;$AC81),M9-(SUM($AC83:AH83)/SUM($AC81:$BG81)),IF(SUM($AC83:AI83)&gt;$AC81," ",M9-(SUM($AC83:AH83)/(SUM($AC81:$BG81))))))</f>
        <v xml:space="preserve"> </v>
      </c>
      <c r="AJ84" s="48" t="str">
        <f ca="1">IF(AJ9&gt;WEEKNUM(TODAY())," ", IF(AND(AJ10="x",SUM($AC83:AJ83)&gt;$AC81),N9-(SUM($AC83:AI83)/SUM($AC81:$BG81)),IF(SUM($AC83:AJ83)&gt;$AC81," ",N9-(SUM($AC83:AI83)/(SUM($AC81:$BG81))))))</f>
        <v xml:space="preserve"> </v>
      </c>
      <c r="AK84" s="48" t="str">
        <f ca="1">IF(AK9&gt;WEEKNUM(TODAY())," ", IF(AND(AK10="x",SUM($AC83:AK83)&gt;$AC81),O9-(SUM($AC83:AJ83)/SUM($AC81:$BG81)),IF(SUM($AC83:AK83)&gt;$AC81," ",O9-(SUM($AC83:AJ83)/(SUM($AC81:$BG81))))))</f>
        <v xml:space="preserve"> </v>
      </c>
      <c r="AL84" s="48" t="str">
        <f ca="1">IF(AL9&gt;WEEKNUM(TODAY())," ", IF(AND(AL10="x",SUM($AC83:AL83)&gt;$AC81),P9-(SUM($AC83:AK83)/SUM($AC81:$BG81)),IF(SUM($AC83:AL83)&gt;$AC81," ",P9-(SUM($AC83:AK83)/(SUM($AC81:$BG81))))))</f>
        <v xml:space="preserve"> </v>
      </c>
      <c r="AM84" s="48" t="str">
        <f ca="1">IF(AM9&gt;WEEKNUM(TODAY())," ", IF(AND(AM10="x",SUM($AC83:AM83)&gt;$AC81),Q9-(SUM($AC83:AL83)/SUM($AC81:$BG81)),IF(SUM($AC83:AM83)&gt;$AC81," ",Q9-(SUM($AC83:AL83)/(SUM($AC81:$BG81))))))</f>
        <v xml:space="preserve"> </v>
      </c>
      <c r="AN84" s="48" t="str">
        <f ca="1">IF(AN9&gt;WEEKNUM(TODAY())," ", IF(AND(AN10="x",SUM($AC83:AN83)&gt;$AC81),R9-(SUM($AC83:AM83)/SUM($AC81:$BG81)),IF(SUM($AC83:AN83)&gt;$AC81," ",R9-(SUM($AC83:AM83)/(SUM($AC81:$BG81))))))</f>
        <v xml:space="preserve"> </v>
      </c>
      <c r="AO84" s="48" t="str">
        <f ca="1">IF(AO9&gt;WEEKNUM(TODAY())," ", IF(AND(AO10="x",SUM($AC83:AO83)&gt;$AC81),S9-(SUM($AC83:AN83)/SUM($AC81:$BG81)),IF(SUM($AC83:AO83)&gt;$AC81," ",S9-(SUM($AC83:AN83)/(SUM($AC81:$BG81))))))</f>
        <v xml:space="preserve"> </v>
      </c>
      <c r="AP84" s="48" t="str">
        <f ca="1">IF(AP9&gt;WEEKNUM(TODAY())," ", IF(AND(AP10="x",SUM($AC83:AP83)&gt;$AC81),T9-(SUM($AC83:AO83)/SUM($AC81:$BG81)),IF(SUM($AC83:AP83)&gt;$AC81," ",T9-(SUM($AC83:AO83)/(SUM($AC81:$BG81))))))</f>
        <v xml:space="preserve"> </v>
      </c>
      <c r="AQ84" s="48" t="str">
        <f ca="1">IF(AQ9&gt;WEEKNUM(TODAY())," ", IF(AND(AQ10="x",SUM($AC83:AQ83)&gt;$AC81),U9-(SUM($AC83:AP83)/SUM($AC81:$BG81)),IF(SUM($AC83:AQ83)&gt;$AC81," ",U9-(SUM($AC83:AP83)/(SUM($AC81:$BG81))))))</f>
        <v xml:space="preserve"> </v>
      </c>
      <c r="AR84" s="48" t="str">
        <f ca="1">IF(AR9&gt;WEEKNUM(TODAY())," ", IF(AND(AR10="x",SUM($AC83:AR83)&gt;$AC81),V9-(SUM($AC83:AQ83)/SUM($AC81:$BG81)),IF(SUM($AC83:AR83)&gt;$AC81," ",V9-(SUM($AC83:AQ83)/(SUM($AC81:$BG81))))))</f>
        <v xml:space="preserve"> </v>
      </c>
      <c r="AS84" s="48" t="str">
        <f ca="1">IF(AS9&gt;WEEKNUM(TODAY())," ", IF(AND(AS10="x",SUM($AC83:AS83)&gt;$AC81),W9-(SUM($AC83:AR83)/SUM($AC81:$BG81)),IF(SUM($AC83:AS83)&gt;$AC81," ",W9-(SUM($AC83:AR83)/(SUM($AC81:$BG81))))))</f>
        <v xml:space="preserve"> </v>
      </c>
      <c r="AT84" s="48" t="str">
        <f ca="1">IF(AT9&gt;WEEKNUM(TODAY())," ", IF(AND(AT10="x",SUM($AC83:AT83)&gt;$AC81),X9-(SUM($AC83:AS83)/SUM($AC81:$BG81)),IF(SUM($AC83:AT83)&gt;$AC81," ",X9-(SUM($AC83:AS83)/(SUM($AC81:$BG81))))))</f>
        <v xml:space="preserve"> </v>
      </c>
      <c r="AU84" s="48" t="str">
        <f ca="1">IF(AU9&gt;WEEKNUM(TODAY())," ", IF(AND(AU10="x",SUM($AC83:AU83)&gt;$AC81),Y9-(SUM($AC83:AT83)/SUM($AC81:$BG81)),IF(SUM($AC83:AU83)&gt;$AC81," ",Y9-(SUM($AC83:AT83)/(SUM($AC81:$BG81))))))</f>
        <v xml:space="preserve"> </v>
      </c>
      <c r="AV84" s="48" t="str">
        <f ca="1">IF(AV9&gt;WEEKNUM(TODAY())," ", IF(AND(AV10="x",SUM($AC83:AV83)&gt;$AC81),Z9-(SUM($AC83:AU83)/SUM($AC81:$BG81)),IF(SUM($AC83:AV83)&gt;$AC81," ",Z9-(SUM($AC83:AU83)/(SUM($AC81:$BG81))))))</f>
        <v xml:space="preserve"> </v>
      </c>
      <c r="AW84" s="48" t="str">
        <f ca="1">IF(AW9&gt;WEEKNUM(TODAY())," ", IF(AND(AW10="x",SUM($AC83:AW83)&gt;$AC81),AA9-(SUM($AC83:AV83)/SUM($AC81:$BG81)),IF(SUM($AC83:AW83)&gt;$AC81," ",AA9-(SUM($AC83:AV83)/(SUM($AC81:$BG81))))))</f>
        <v xml:space="preserve"> </v>
      </c>
      <c r="AX84" s="48" t="str">
        <f ca="1">IF(AX9&gt;WEEKNUM(TODAY())," ", IF(AND(AX10="x",SUM($AC83:AX83)&gt;$AC81),AB9-(SUM($AC83:AW83)/SUM($AC81:$BG81)),IF(SUM($AC83:AX83)&gt;$AC81," ",AB9-(SUM($AC83:AW83)/(SUM($AC81:$BG81))))))</f>
        <v xml:space="preserve"> </v>
      </c>
      <c r="AY84" s="48" t="str">
        <f ca="1">IF(AY9&gt;WEEKNUM(TODAY())," ", IF(AND(AY10="x",SUM($AC83:AY83)&gt;$AC81),AC9-(SUM($AC83:AX83)/SUM($AC81:$BG81)),IF(SUM($AC83:AY83)&gt;$AC81," ",AC9-(SUM($AC83:AX83)/(SUM($AC81:$BG81))))))</f>
        <v xml:space="preserve"> </v>
      </c>
      <c r="AZ84" s="48" t="str">
        <f ca="1">IF(AZ9&gt;WEEKNUM(TODAY())," ", IF(AND(AZ10="x",SUM($AC83:AZ83)&gt;$AC81),AD9-(SUM($AC83:AY83)/SUM($AC81:$BG81)),IF(SUM($AC83:AZ83)&gt;$AC81," ",AD9-(SUM($AC83:AY83)/(SUM($AC81:$BG81))))))</f>
        <v xml:space="preserve"> </v>
      </c>
      <c r="BA84" s="48" t="str">
        <f ca="1">IF(BA9&gt;WEEKNUM(TODAY())," ", IF(AND(BA10="x",SUM($AC83:BA83)&gt;$AC81),AE9-(SUM($AC83:AZ83)/SUM($AC81:$BG81)),IF(SUM($AC83:BA83)&gt;$AC81," ",AE9-(SUM($AC83:AZ83)/(SUM($AC81:$BG81))))))</f>
        <v xml:space="preserve"> </v>
      </c>
      <c r="BB84" s="48" t="str">
        <f ca="1">IF(BB9&gt;WEEKNUM(TODAY())," ", IF(AND(BB10="x",SUM($AC83:BB83)&gt;$AC81),AF9-(SUM($AC83:BA83)/SUM($AC81:$BG81)),IF(SUM($AC83:BB83)&gt;$AC81," ",AF9-(SUM($AC83:BA83)/(SUM($AC81:$BG81))))))</f>
        <v xml:space="preserve"> </v>
      </c>
      <c r="BC84" s="48" t="str">
        <f ca="1">IF(BC9&gt;WEEKNUM(TODAY())," ", IF(AND(BC10="x",SUM($AC83:BC83)&gt;$AC81),AG9-(SUM($AC83:BB83)/SUM($AC81:$BG81)),IF(SUM($AC83:BC83)&gt;$AC81," ",AG9-(SUM($AC83:BB83)/(SUM($AC81:$BG81))))))</f>
        <v xml:space="preserve"> </v>
      </c>
      <c r="BD84" s="48" t="str">
        <f ca="1">IF(BD9&gt;WEEKNUM(TODAY())," ", IF(AND(BD10="x",SUM($AC83:BD83)&gt;$AC81),AH9-(SUM($AC83:BC83)/SUM($AC81:$BG81)),IF(SUM($AC83:BD83)&gt;$AC81," ",AH9-(SUM($AC83:BC83)/(SUM($AC81:$BG81))))))</f>
        <v xml:space="preserve"> </v>
      </c>
      <c r="BE84" s="48" t="str">
        <f ca="1">IF(BE9&gt;WEEKNUM(TODAY())," ", IF(AND(BE10="x",SUM($AC83:BE83)&gt;$AC81),AI9-(SUM($AC83:BD83)/SUM($AC81:$BG81)),IF(SUM($AC83:BE83)&gt;$AC81," ",AI9-(SUM($AC83:BD83)/(SUM($AC81:$BG81))))))</f>
        <v xml:space="preserve"> </v>
      </c>
      <c r="BF84" s="48" t="str">
        <f ca="1">IF(BF9&gt;WEEKNUM(TODAY())," ", IF(AND(BF10="x",SUM($AC83:BF83)&gt;$AC81),AJ9-(SUM($AC83:BE83)/SUM($AC81:$BG81)),IF(SUM($AC83:BF83)&gt;$AC81," ",AJ9-(SUM($AC83:BE83)/(SUM($AC81:$BG81))))))</f>
        <v xml:space="preserve"> </v>
      </c>
      <c r="BG84" s="48" t="str">
        <f ca="1">IF(BG9&gt;WEEKNUM(TODAY())," ", IF(AND(BG10="x",SUM($AC83:BG83)&gt;$AC81),AK9-(SUM($AC83:BF83)/SUM($AC81:$BG81)),IF(SUM($AC83:BG83)&gt;$AC81," ",AK9-(SUM($AC83:BF83)/(SUM($AC81:$BG81))))))</f>
        <v xml:space="preserve"> </v>
      </c>
      <c r="BH84" s="21"/>
    </row>
    <row r="85" spans="2:60" ht="16.2" thickBot="1" x14ac:dyDescent="0.35">
      <c r="B85" s="70"/>
      <c r="C85" s="79"/>
      <c r="D85" s="84"/>
      <c r="E85" s="57"/>
      <c r="F85" s="117"/>
      <c r="H85" s="49" t="str">
        <f>IF(H81= " ", " ",IF(H83&gt;SUM($H81:$BG81), " N/A", IF(SUM($H83:$BG83)=SUM($H81:BG81), " ", IF(H83=SUM($H81:BG81), " ", "x"))))</f>
        <v xml:space="preserve"> </v>
      </c>
      <c r="I85" s="50" t="str">
        <f>IF(SUM($H83:I83) &gt; SUM($H81:I81),  " N/A", IF(SUM($H83:$BG83) = SUM($H81:$BH81),    " ",IF(I83 = SUM($H81:$BH81),  " ",   "x")))</f>
        <v xml:space="preserve"> </v>
      </c>
      <c r="J85" s="50" t="str">
        <f>IF(SUM($H83:J83) &gt; SUM($H81:J81),  " N/A", IF(SUM($H83:$BG83) = SUM($H81:$BH81),    " ",IF(J83 = SUM($H81:$BH81),  " ",   "x")))</f>
        <v xml:space="preserve"> </v>
      </c>
      <c r="K85" s="50" t="str">
        <f>IF(SUM($H83:K83) &gt; SUM($H81:K81),  " N/A", IF(SUM($H83:$BG83) = SUM($H81:$BH81),    " ",IF(K83 = SUM($H81:$BH81),  " ",   "x")))</f>
        <v xml:space="preserve"> </v>
      </c>
      <c r="L85" s="50" t="str">
        <f>IF(L81= " ", " ",IF(L83&gt;SUM($H81:$BG81), " N/A", IF(SUM($H83:$BG83)=SUM($H81:BJ81), " ", IF(L83=SUM($H81:BJ81), " ", "x"))))</f>
        <v xml:space="preserve"> </v>
      </c>
      <c r="M85" s="50" t="str">
        <f>IF(M81= " ", " ",IF(M83&gt;SUM($H81:$BG81), " N/A", IF(SUM($H83:$BG83)=SUM($H81:BK81), " ", IF(M83=SUM($H81:BK81), " ", "x"))))</f>
        <v xml:space="preserve"> </v>
      </c>
      <c r="N85" s="50" t="str">
        <f>IF(N81= " ", " ",IF(N83&gt;SUM($H81:$BG81), " N/A", IF(SUM($H83:$BG83)=SUM($H81:BL81), " ", IF(N83=SUM($H81:BL81), " ", "x"))))</f>
        <v xml:space="preserve"> </v>
      </c>
      <c r="O85" s="50" t="str">
        <f>IF(O81= " ", " ",IF(O83&gt;SUM($H81:$BG81), " N/A", IF(SUM($H83:$BG83)=SUM($H81:BM81), " ", IF(O83=SUM($H81:BM81), " ", "x"))))</f>
        <v xml:space="preserve"> </v>
      </c>
      <c r="P85" s="50" t="str">
        <f>IF(P81= " ", " ",IF(P83&gt;SUM($H81:$BG81), " N/A", IF(SUM($H83:$BG83)=SUM($H81:BN81), " ", IF(P83=SUM($H81:BN81), " ", "x"))))</f>
        <v xml:space="preserve"> </v>
      </c>
      <c r="Q85" s="50" t="str">
        <f>IF(Q81= " ", " ",IF(Q83&gt;SUM($H81:$BG81), " N/A", IF(SUM($H83:$BG83)=SUM($H81:BO81), " ", IF(Q83=SUM($H81:BO81), " ", "x"))))</f>
        <v xml:space="preserve"> </v>
      </c>
      <c r="R85" s="50" t="str">
        <f>IF(R81= " ", " ",IF(R83&gt;SUM($H81:$BG81), " N/A", IF(SUM($H83:$BG83)=SUM($H81:BP81), " ", IF(R83=SUM($H81:BP81), " ", "x"))))</f>
        <v xml:space="preserve"> </v>
      </c>
      <c r="S85" s="50" t="str">
        <f>IF(S81= " ", " ",IF(S83&gt;SUM($H81:$BG81), " N/A", IF(SUM($H83:$BG83)=SUM($H81:BQ81), " ", IF(S83=SUM($H81:BQ81), " ", "x"))))</f>
        <v xml:space="preserve"> </v>
      </c>
      <c r="T85" s="50" t="str">
        <f>IF(T81= " ", " ",IF(T83&gt;SUM($H81:$BG81), " N/A", IF(SUM($H83:$BG83)=SUM($H81:BR81), " ", IF(T83=SUM($H81:BR81), " ", "x"))))</f>
        <v xml:space="preserve"> </v>
      </c>
      <c r="U85" s="50" t="str">
        <f>IF(U81= " ", " ",IF(U83&gt;SUM($H81:$BG81), " N/A", IF(SUM($H83:$BG83)=SUM($H81:BS81), " ", IF(U83=SUM($H81:BS81), " ", "x"))))</f>
        <v xml:space="preserve"> </v>
      </c>
      <c r="V85" s="50" t="str">
        <f>IF(V81= " ", " ",IF(V83&gt;SUM($H81:$BG81), " N/A", IF(SUM($H83:$BG83)=SUM($H81:BT81), " ", IF(V83=SUM($H81:BT81), " ", "x"))))</f>
        <v xml:space="preserve"> </v>
      </c>
      <c r="W85" s="50" t="str">
        <f>IF(W81= " ", " ",IF(W83&gt;SUM($H81:$BG81), " N/A", IF(SUM($H83:$BG83)=SUM($H81:BU81), " ", IF(W83=SUM($H81:BU81), " ", "x"))))</f>
        <v xml:space="preserve"> </v>
      </c>
      <c r="X85" s="50" t="str">
        <f>IF(X81= " ", " ",IF(X83&gt;SUM($H81:$BG81), " N/A", IF(SUM($H83:$BG83)=SUM($H81:BV81), " ", IF(X83=SUM($H81:BV81), " ", "x"))))</f>
        <v xml:space="preserve"> </v>
      </c>
      <c r="Y85" s="50" t="str">
        <f>IF(Y81= " ", " ",IF(Y83&gt;SUM($H81:$BG81), " N/A", IF(SUM($H83:$BG83)=SUM($H81:BW81), " ", IF(Y83=SUM($H81:BW81), " ", "x"))))</f>
        <v xml:space="preserve"> </v>
      </c>
      <c r="Z85" s="50" t="str">
        <f>IF(Z81= " ", " ",IF(Z83&gt;SUM($H81:$BG81), " N/A", IF(SUM($H83:$BG83)=SUM($H81:BX81), " ", IF(Z83=SUM($H81:BX81), " ", "x"))))</f>
        <v xml:space="preserve"> </v>
      </c>
      <c r="AA85" s="50" t="str">
        <f>IF(AA81= " ", " ",IF(AA83&gt;SUM($H81:$BG81), " N/A", IF(SUM($H83:$BG83)=SUM($H81:BY81), " ", IF(AA83=SUM($H81:BY81), " ", "x"))))</f>
        <v xml:space="preserve"> </v>
      </c>
      <c r="AB85" s="50" t="str">
        <f>IF(AB81= " ", " ",IF(AB83&gt;SUM($H81:$BG81), " N/A", IF(SUM($H83:$BG83)=SUM($H81:BZ81), " ", IF(AB83=SUM($H81:BZ81), " ", "x"))))</f>
        <v xml:space="preserve"> </v>
      </c>
      <c r="AC85" s="50" t="str">
        <f>IF(AC81= " ", " ",IF(AC83&gt;SUM($H81:$BG81), " N/A", IF(SUM($H83:$BG83)=SUM($H81:CA81), " ", IF(AC83=SUM($H81:CA81), " ", "x"))))</f>
        <v xml:space="preserve"> </v>
      </c>
      <c r="AD85" s="50" t="str">
        <f>IF(SUM($H83:AD83) &gt; SUM($H81:AD81),  " N/A", IF(SUM($H83:$BG83) = SUM($H81:$BH81),    " ",IF(AD83 = SUM($H81:$BH81),  " ",   "x")))</f>
        <v xml:space="preserve"> </v>
      </c>
      <c r="AE85" s="50" t="str">
        <f>IF(AE81= " ", " ",IF(AE83&gt;SUM($H81:$BG81), " N/A", IF(SUM($H83:$BG83)=SUM($H81:CC81), " ", IF(AE83=SUM($H81:CC81), " ", "x"))))</f>
        <v xml:space="preserve"> </v>
      </c>
      <c r="AF85" s="50" t="str">
        <f>IF(AF81= " ", " ",IF(AF83&gt;SUM($H81:$BG81), " N/A", IF(SUM($H83:$BG83)=SUM($H81:CD81), " ", IF(AF83=SUM($H81:CD81), " ", "x"))))</f>
        <v xml:space="preserve"> </v>
      </c>
      <c r="AG85" s="50" t="str">
        <f>IF(AG81= " ", " ",IF(AG83&gt;SUM($H81:$BG81), " N/A", IF(SUM($H83:$BG83)=SUM($H81:CE81), " ", IF(AG83=SUM($H81:CE81), " ", "x"))))</f>
        <v xml:space="preserve"> </v>
      </c>
      <c r="AH85" s="50" t="str">
        <f>IF(AH81= " ", " ",IF(AH83&gt;SUM($H81:$BG81), " N/A", IF(SUM($H83:$BG83)=SUM($H81:CF81), " ", IF(AH83=SUM($H81:CF81), " ", "x"))))</f>
        <v xml:space="preserve"> </v>
      </c>
      <c r="AI85" s="50" t="str">
        <f>IF(AI81= " ", " ",IF(AI83&gt;SUM($H81:$BG81), " N/A", IF(SUM($H83:$BG83)=SUM($H81:CG81), " ", IF(AI83=SUM($H81:CG81), " ", "x"))))</f>
        <v xml:space="preserve"> </v>
      </c>
      <c r="AJ85" s="50" t="str">
        <f>IF(AJ81= " ", " ",IF(AJ83&gt;SUM($H81:$BG81), " N/A", IF(SUM($H83:$BG83)=SUM($H81:CH81), " ", IF(AJ83=SUM($H81:CH81), " ", "x"))))</f>
        <v xml:space="preserve"> </v>
      </c>
      <c r="AK85" s="50" t="str">
        <f>IF(AK81= " ", " ",IF(AK83&gt;SUM($H81:$BG81), " N/A", IF(SUM($H83:$BG83)=SUM($H81:CI81), " ", IF(AK83=SUM($H81:CI81), " ", "x"))))</f>
        <v xml:space="preserve"> </v>
      </c>
      <c r="AL85" s="50" t="str">
        <f>IF(AL81= " ", " ",IF(AL83&gt;SUM($H81:$BG81), " N/A", IF(SUM($H83:$BG83)=SUM($H81:CJ81), " ", IF(AL83=SUM($H81:CJ81), " ", "x"))))</f>
        <v xml:space="preserve"> </v>
      </c>
      <c r="AM85" s="50" t="str">
        <f>IF(AM81= " ", " ",IF(AM83&gt;SUM($H81:$BG81), " N/A", IF(SUM($H83:$BG83)=SUM($H81:CK81), " ", IF(AM83=SUM($H81:CK81), " ", "x"))))</f>
        <v xml:space="preserve"> </v>
      </c>
      <c r="AN85" s="50" t="str">
        <f>IF(AN81= " ", " ",IF(AN83&gt;SUM($H81:$BG81), " N/A", IF(SUM($H83:$BG83)=SUM($H81:CL81), " ", IF(AN83=SUM($H81:CL81), " ", "x"))))</f>
        <v xml:space="preserve"> </v>
      </c>
      <c r="AO85" s="50" t="str">
        <f>IF(AO81= " ", " ",IF(AO83&gt;SUM($H81:$BG81), " N/A", IF(SUM($H83:$BG83)=SUM($H81:CM81), " ", IF(AO83=SUM($H81:CM81), " ", "x"))))</f>
        <v xml:space="preserve"> </v>
      </c>
      <c r="AP85" s="50" t="str">
        <f>IF(AP81= " ", " ",IF(AP83&gt;SUM($H81:$BG81), " N/A", IF(SUM($H83:$BG83)=SUM($H81:CN81), " ", IF(AP83=SUM($H81:CN81), " ", "x"))))</f>
        <v xml:space="preserve"> </v>
      </c>
      <c r="AQ85" s="50" t="str">
        <f>IF(AQ81= " ", " ",IF(AQ83&gt;SUM($H81:$BG81), " N/A", IF(SUM($H83:$BG83)=SUM($H81:CO81), " ", IF(AQ83=SUM($H81:CO81), " ", "x"))))</f>
        <v xml:space="preserve"> </v>
      </c>
      <c r="AR85" s="50" t="str">
        <f>IF(AR81= " ", " ",IF(AR83&gt;SUM($H81:$BG81), " N/A", IF(SUM($H83:$BG83)=SUM($H81:CP81), " ", IF(AR83=SUM($H81:CP81), " ", "x"))))</f>
        <v xml:space="preserve"> </v>
      </c>
      <c r="AS85" s="50" t="str">
        <f>IF(AS81= " ", " ",IF(AS83&gt;SUM($H81:$BG81), " N/A", IF(SUM($H83:$BG83)=SUM($H81:CQ81), " ", IF(AS83=SUM($H81:CQ81), " ", "x"))))</f>
        <v xml:space="preserve"> </v>
      </c>
      <c r="AT85" s="50" t="str">
        <f>IF(AT81= " ", " ",IF(AT83&gt;SUM($H81:$BG81), " N/A", IF(SUM($H83:$BG83)=SUM($H81:CR81), " ", IF(AT83=SUM($H81:CR81), " ", "x"))))</f>
        <v xml:space="preserve"> </v>
      </c>
      <c r="AU85" s="50" t="str">
        <f>IF(AU81= " ", " ",IF(AU83&gt;SUM($H81:$BG81), " N/A", IF(SUM($H83:$BG83)=SUM($H81:CS81), " ", IF(AU83=SUM($H81:CS81), " ", "x"))))</f>
        <v xml:space="preserve"> </v>
      </c>
      <c r="AV85" s="50" t="str">
        <f>IF(AV81= " ", " ",IF(AV83&gt;SUM($H81:$BG81), " N/A", IF(SUM($H83:$BG83)=SUM($H81:CT81), " ", IF(AV83=SUM($H81:CT81), " ", "x"))))</f>
        <v xml:space="preserve"> </v>
      </c>
      <c r="AW85" s="50" t="str">
        <f>IF(AW81= " ", " ",IF(AW83&gt;SUM($H81:$BG81), " N/A", IF(SUM($H83:$BG83)=SUM($H81:CU81), " ", IF(AW83=SUM($H81:CU81), " ", "x"))))</f>
        <v xml:space="preserve"> </v>
      </c>
      <c r="AX85" s="50" t="str">
        <f>IF(AX81= " ", " ",IF(AX83&gt;SUM($H81:$BG81), " N/A", IF(SUM($H83:$BG83)=SUM($H81:CV81), " ", IF(AX83=SUM($H81:CV81), " ", "x"))))</f>
        <v xml:space="preserve"> </v>
      </c>
      <c r="AY85" s="50" t="str">
        <f>IF(AY81= " ", " ",IF(AY83&gt;SUM($H81:$BG81), " N/A", IF(SUM($H83:$BG83)=SUM($H81:CW81), " ", IF(AY83=SUM($H81:CW81), " ", "x"))))</f>
        <v xml:space="preserve"> </v>
      </c>
      <c r="AZ85" s="50" t="str">
        <f>IF(AZ81= " ", " ",IF(AZ83&gt;SUM($H81:$BG81), " N/A", IF(SUM($H83:$BG83)=SUM($H81:CX81), " ", IF(AZ83=SUM($H81:CX81), " ", "x"))))</f>
        <v xml:space="preserve"> </v>
      </c>
      <c r="BA85" s="50" t="str">
        <f>IF(BA81= " ", " ",IF(BA83&gt;SUM($H81:$BG81), " N/A", IF(SUM($H83:$BG83)=SUM($H81:CY81), " ", IF(BA83=SUM($H81:CY81), " ", "x"))))</f>
        <v xml:space="preserve"> </v>
      </c>
      <c r="BB85" s="50" t="str">
        <f>IF(BB81= " ", " ",IF(BB83&gt;SUM($H81:$BG81), " N/A", IF(SUM($H83:$BG83)=SUM($H81:CZ81), " ", IF(BB83=SUM($H81:CZ81), " ", "x"))))</f>
        <v xml:space="preserve"> </v>
      </c>
      <c r="BC85" s="50" t="str">
        <f>IF(BC81= " ", " ",IF(BC83&gt;SUM($H81:$BG81), " N/A", IF(SUM($H83:$BG83)=SUM($H81:DA81), " ", IF(BC83=SUM($H81:DA81), " ", "x"))))</f>
        <v xml:space="preserve"> </v>
      </c>
      <c r="BD85" s="50" t="str">
        <f>IF(BD81= " ", " ",IF(BD83&gt;SUM($H81:$BG81), " N/A", IF(SUM($H83:$BG83)=SUM($H81:DB81), " ", IF(BD83=SUM($H81:DB81), " ", "x"))))</f>
        <v xml:space="preserve"> </v>
      </c>
      <c r="BE85" s="50" t="str">
        <f>IF(BE81= " ", " ",IF(BE83&gt;SUM($H81:$BG81), " N/A", IF(SUM($H83:$BG83)=SUM($H81:DC81), " ", IF(BE83=SUM($H81:DC81), " ", "x"))))</f>
        <v xml:space="preserve"> </v>
      </c>
      <c r="BF85" s="50" t="str">
        <f>IF(BF81= " ", " ",IF(BF83&gt;SUM($H81:$BG81), " N/A", IF(SUM($H83:$BG83)=SUM($H81:DD81), " ", IF(BF83=SUM($H81:DD81), " ", "x"))))</f>
        <v xml:space="preserve"> </v>
      </c>
      <c r="BG85" s="50" t="str">
        <f>IF(BG81= " ", " ",IF(BG83&gt;SUM($H81:$BG81), " N/A", IF(SUM($H83:$BG83)=SUM($H81:DE81), " ", IF(BG83=SUM($H81:DE81), " ", "x"))))</f>
        <v xml:space="preserve"> </v>
      </c>
      <c r="BH85" s="21"/>
    </row>
    <row r="86" spans="2:60" ht="15.6" x14ac:dyDescent="0.3">
      <c r="B86" s="71"/>
      <c r="C86" s="77"/>
      <c r="D86" s="82" t="s">
        <v>249</v>
      </c>
      <c r="E86" s="54">
        <f>SUM(H86:BG86)</f>
        <v>0</v>
      </c>
      <c r="F86" s="115">
        <f>Gant_24!$E86-E88</f>
        <v>0</v>
      </c>
      <c r="H86" s="41"/>
      <c r="I86" s="42"/>
      <c r="J86" s="42"/>
      <c r="K86" s="42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>
        <v>0</v>
      </c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  <c r="BC86" s="51"/>
      <c r="BD86" s="51"/>
      <c r="BE86" s="51"/>
      <c r="BF86" s="51"/>
      <c r="BG86" s="51"/>
      <c r="BH86" s="21"/>
    </row>
    <row r="87" spans="2:60" ht="15.6" x14ac:dyDescent="0.3">
      <c r="B87" s="68"/>
      <c r="C87" s="78"/>
      <c r="D87" s="83" t="s">
        <v>261</v>
      </c>
      <c r="E87" s="55">
        <f>SUM(H87:BG87)</f>
        <v>0</v>
      </c>
      <c r="F87" s="116"/>
      <c r="H87" s="43"/>
      <c r="I87" s="44"/>
      <c r="J87" s="44"/>
      <c r="K87" s="44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  <c r="AA87" s="50"/>
      <c r="AB87" s="50"/>
      <c r="AC87" s="50"/>
      <c r="AD87" s="50"/>
      <c r="AE87" s="50"/>
      <c r="AF87" s="50"/>
      <c r="AG87" s="50"/>
      <c r="AH87" s="50"/>
      <c r="AI87" s="50"/>
      <c r="AJ87" s="50"/>
      <c r="AK87" s="50"/>
      <c r="AL87" s="50"/>
      <c r="AM87" s="50"/>
      <c r="AN87" s="50"/>
      <c r="AO87" s="50"/>
      <c r="AP87" s="50"/>
      <c r="AQ87" s="50"/>
      <c r="AR87" s="50"/>
      <c r="AS87" s="50"/>
      <c r="AT87" s="50"/>
      <c r="AU87" s="50"/>
      <c r="AV87" s="50"/>
      <c r="AW87" s="50"/>
      <c r="AX87" s="50"/>
      <c r="AY87" s="50"/>
      <c r="AZ87" s="50"/>
      <c r="BA87" s="50"/>
      <c r="BB87" s="50"/>
      <c r="BC87" s="50"/>
      <c r="BD87" s="50"/>
      <c r="BE87" s="50"/>
      <c r="BF87" s="50"/>
      <c r="BG87" s="50"/>
      <c r="BH87" s="21"/>
    </row>
    <row r="88" spans="2:60" ht="15.6" x14ac:dyDescent="0.3">
      <c r="B88" s="68" t="s">
        <v>94</v>
      </c>
      <c r="C88" s="78" t="s">
        <v>95</v>
      </c>
      <c r="D88" s="83" t="s">
        <v>241</v>
      </c>
      <c r="E88" s="55">
        <f>SUM(H88:BG88)</f>
        <v>0</v>
      </c>
      <c r="F88" s="116"/>
      <c r="H88" s="45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  <c r="AO88" s="46"/>
      <c r="AP88" s="46"/>
      <c r="AQ88" s="46"/>
      <c r="AR88" s="46"/>
      <c r="AS88" s="46"/>
      <c r="AT88" s="46"/>
      <c r="AU88" s="46"/>
      <c r="AV88" s="46"/>
      <c r="AW88" s="46"/>
      <c r="AX88" s="46"/>
      <c r="AY88" s="46"/>
      <c r="AZ88" s="46"/>
      <c r="BA88" s="46"/>
      <c r="BB88" s="46"/>
      <c r="BC88" s="46"/>
      <c r="BD88" s="46"/>
      <c r="BE88" s="46"/>
      <c r="BF88" s="46"/>
      <c r="BG88" s="46"/>
      <c r="BH88" s="21"/>
    </row>
    <row r="89" spans="2:60" ht="15.6" x14ac:dyDescent="0.3">
      <c r="B89" s="68"/>
      <c r="C89" s="78"/>
      <c r="D89" s="83" t="s">
        <v>278</v>
      </c>
      <c r="E89" s="56">
        <f>MAX(H89:BG89)</f>
        <v>0</v>
      </c>
      <c r="F89" s="116"/>
      <c r="H89" s="47"/>
      <c r="I89" s="48"/>
      <c r="J89" s="48"/>
      <c r="K89" s="48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48"/>
      <c r="AB89" s="48"/>
      <c r="AC89" s="48" t="str">
        <f>IF(SUM(H86:BG86) = AC88, " 0 ", " ")</f>
        <v xml:space="preserve"> 0 </v>
      </c>
      <c r="AD89" s="48"/>
      <c r="AE89" s="48" t="str">
        <f>IF(AE88=0," ",IF(SUM($AC88:AE88)&gt;SUM($AC86:$BG86)," ",(2-(SUM($AC88:AD88)/(SUM($AC86:$BG86))))))</f>
        <v xml:space="preserve"> </v>
      </c>
      <c r="AF89" s="48" t="str">
        <f>IF(AF88=0," ",IF(SUM($AC88:AF88)&gt;SUM($AC86:$BG86)," ",(3-(SUM($AC88:AE88)/(SUM($AC86:$BG86))))))</f>
        <v xml:space="preserve"> </v>
      </c>
      <c r="AG89" s="48" t="str">
        <f>IF(AG88=0," ",IF(SUM($AC88:AG88)&gt;SUM($AC86:$BG86)," ",(4-(SUM($AC88:AF88)/(SUM($AC86:$BG86))))))</f>
        <v xml:space="preserve"> </v>
      </c>
      <c r="AH89" s="48" t="str">
        <f>IF(AH88=0," ",IF(SUM($AC88:AH88)&gt;SUM($AC86:$BG86)," ",(5-(SUM($AC88:AG88)/(SUM($AC86:$BG86))))))</f>
        <v xml:space="preserve"> </v>
      </c>
      <c r="AI89" s="48" t="str">
        <f>IF(AI88=0," ",IF(SUM($AC88:AI88)&gt;SUM($AC86:$BG86)," ",(6-(SUM($AC88:AH88)/(SUM($AC86:$BG86))))))</f>
        <v xml:space="preserve"> </v>
      </c>
      <c r="AJ89" s="48" t="str">
        <f>IF(AJ88=0," ",IF(SUM($AC88:AJ88)&gt;SUM($AC86:$BG86)," ",(7-(SUM($AC88:AI88)/(SUM($AC86:$BG86))))))</f>
        <v xml:space="preserve"> </v>
      </c>
      <c r="AK89" s="48" t="str">
        <f>IF(AK88=0," ",IF(SUM($AC88:AK88)&gt;SUM($AC86:$BG86)," ",(8-(SUM($AC88:AJ88)/(SUM($AC86:$BG86))))))</f>
        <v xml:space="preserve"> </v>
      </c>
      <c r="AL89" s="48" t="str">
        <f>IF(AL88=0," ",IF(SUM($AC88:AL88)&gt;SUM($AC86:$BG86)," ",(9-(SUM($AC88:AK88)/(SUM($AC86:$BG86))))))</f>
        <v xml:space="preserve"> </v>
      </c>
      <c r="AM89" s="48" t="str">
        <f>IF(AM88=0," ",IF(SUM($AC88:AM88)&gt;SUM($AC86:$BG86)," ",(10-(SUM($AC88:AL88)/(SUM($AC86:$BG86))))))</f>
        <v xml:space="preserve"> </v>
      </c>
      <c r="AN89" s="48" t="str">
        <f>IF(AN88=0," ",IF(SUM($AC88:AN88)&gt;SUM($AC86:$BG86)," ",(11-(SUM($AC88:AM88)/(SUM($AC86:$BG86))))))</f>
        <v xml:space="preserve"> </v>
      </c>
      <c r="AO89" s="48" t="str">
        <f>IF(AO88=0," ",IF(SUM($AC88:AO88)&gt;SUM($AC86:$BG86)," ",(12-(SUM($AC88:AN88)/(SUM($AC86:$BG86))))))</f>
        <v xml:space="preserve"> </v>
      </c>
      <c r="AP89" s="48" t="str">
        <f>IF(AP88=0," ",IF(SUM($AC88:AP88)&gt;SUM($AC86:$BG86)," ",(13-(SUM($AC88:AO88)/(SUM($AC86:$BG86))))))</f>
        <v xml:space="preserve"> </v>
      </c>
      <c r="AQ89" s="48" t="str">
        <f>IF(AQ88=0," ",IF(SUM($AC88:AQ88)&gt;SUM($AC86:$BG86)," ",(14-(SUM($AC88:AP88)/(SUM($AC86:$BG86))))))</f>
        <v xml:space="preserve"> </v>
      </c>
      <c r="AR89" s="48" t="str">
        <f>IF(AR88=0," ",IF(SUM($AC88:AR88)&gt;SUM($AC86:$BG86)," ",(15-(SUM($AC88:AQ88)/(SUM($AC86:$BG86))))))</f>
        <v xml:space="preserve"> </v>
      </c>
      <c r="AS89" s="48" t="str">
        <f>IF(AS88=0," ",IF(SUM($AC88:AS88)&gt;SUM($AC86:$BG86)," ",(16-(SUM($AC88:AR88)/(SUM($AC86:$BG86))))))</f>
        <v xml:space="preserve"> </v>
      </c>
      <c r="AT89" s="48" t="str">
        <f>IF(AT88=0," ",IF(SUM($AC88:AT88)&gt;SUM($AC86:$BG86)," ",(17-(SUM($AC88:AS88)/(SUM($AC86:$BG86))))))</f>
        <v xml:space="preserve"> </v>
      </c>
      <c r="AU89" s="48" t="str">
        <f>IF(AU88=0," ",IF(SUM($AC88:AU88)&gt;SUM($AC86:$BG86)," ",(18-(SUM($AC88:AT88)/(SUM($AC86:$BG86))))))</f>
        <v xml:space="preserve"> </v>
      </c>
      <c r="AV89" s="48" t="str">
        <f>IF(AV88=0," ",IF(SUM($AC88:AV88)&gt;SUM($AC86:$BG86)," ",(19-(SUM($AC88:AU88)/(SUM($AC86:$BG86))))))</f>
        <v xml:space="preserve"> </v>
      </c>
      <c r="AW89" s="48" t="str">
        <f>IF(AW88=0," ",IF(SUM($AC88:AW88)&gt;SUM($AC86:$BG86)," ",(20-(SUM($AC88:AV88)/(SUM($AC86:$BG86))))))</f>
        <v xml:space="preserve"> </v>
      </c>
      <c r="AX89" s="48" t="str">
        <f>IF(AX88=0," ",IF(SUM($AC88:AX88)&gt;SUM($AC86:$BG86)," ",(21-(SUM($AC88:AW88)/(SUM($AC86:$BG86))))))</f>
        <v xml:space="preserve"> </v>
      </c>
      <c r="AY89" s="48" t="str">
        <f>IF(AY88=0," ",IF(SUM($AC88:AY88)&gt;SUM($AC86:$BG86)," ",(22-(SUM($AC88:AX88)/(SUM($AC86:$BG86))))))</f>
        <v xml:space="preserve"> </v>
      </c>
      <c r="AZ89" s="48" t="str">
        <f>IF(AZ88=0," ",IF(SUM($AC88:AZ88)&gt;SUM($AC86:$BG86)," ",(23-(SUM($AC88:AY88)/(SUM($AC86:$BG86))))))</f>
        <v xml:space="preserve"> </v>
      </c>
      <c r="BA89" s="48" t="str">
        <f>IF(BA88=0," ",IF(SUM($AC88:BA88)&gt;SUM($AC86:$BG86)," ",(24-(SUM($AC88:AZ88)/(SUM($AC86:$BG86))))))</f>
        <v xml:space="preserve"> </v>
      </c>
      <c r="BB89" s="48" t="str">
        <f>IF(BB88=0," ",IF(SUM($AC88:BB88)&gt;SUM($AC86:$BG86)," ",(25-(SUM($AC88:BA88)/(SUM($AC86:$BG86))))))</f>
        <v xml:space="preserve"> </v>
      </c>
      <c r="BC89" s="48" t="str">
        <f>IF(BC88=0," ",IF(SUM($AC88:BC88)&gt;SUM($AC86:$BG86)," ",(26-(SUM($AC88:BB88)/(SUM($AC86:$BG86))))))</f>
        <v xml:space="preserve"> </v>
      </c>
      <c r="BD89" s="48" t="str">
        <f>IF(BD88=0," ",IF(SUM($AC88:BD88)&gt;SUM($AC86:$BG86)," ",(27-(SUM($AC88:BC88)/(SUM($AC86:$BG86))))))</f>
        <v xml:space="preserve"> </v>
      </c>
      <c r="BE89" s="48" t="str">
        <f>IF(BE88=0," ",IF(SUM($AC88:BE88)&gt;SUM($AC86:$BG86)," ",(28-(SUM($AC88:BD88)/(SUM($AC86:$BG86))))))</f>
        <v xml:space="preserve"> </v>
      </c>
      <c r="BF89" s="48" t="str">
        <f>IF(BF88=0," ",IF(SUM($AC88:BF88)&gt;SUM($AC86:$BG86)," ",(29-(SUM($AC88:BE88)/(SUM($AC86:$BG86))))))</f>
        <v xml:space="preserve"> </v>
      </c>
      <c r="BG89" s="48" t="str">
        <f>IF(BG88=0," ",IF(SUM($AC88:BG88)&gt;SUM($AC86:$BG86)," ",(30-(SUM($AC88:BF88)/(SUM($AC86:$BG86))))))</f>
        <v xml:space="preserve"> </v>
      </c>
      <c r="BH89" s="21"/>
    </row>
    <row r="90" spans="2:60" ht="16.2" thickBot="1" x14ac:dyDescent="0.35">
      <c r="B90" s="70"/>
      <c r="C90" s="79"/>
      <c r="D90" s="84"/>
      <c r="E90" s="57"/>
      <c r="F90" s="117"/>
      <c r="H90" s="43" t="str">
        <f>IF(SUM($H88:H88) &gt; SUM($H86:H86),  " N/A", IF(SUM($H88:$BG88) = SUM($H71:$BH71),    " ",IF(H88 = SUM($H71:$BH71),  " ",   "x")))</f>
        <v>x</v>
      </c>
      <c r="I90" s="44" t="str">
        <f>IF(SUM($H88:I88) &gt; SUM($H86:I86),  " N/A", IF(SUM($H88:$BG88) = SUM($H71:$BH71),    " ",IF(I88 = SUM($H71:$BH71),  " ",   "x")))</f>
        <v>x</v>
      </c>
      <c r="J90" s="44" t="str">
        <f>IF(SUM($H88:J88) &gt; SUM($H86:J86),  " N/A", IF(SUM($H88:$BG88) = SUM($H71:$BH71),    " ",IF(J88 = SUM($H71:$BH71),  " ",   "x")))</f>
        <v>x</v>
      </c>
      <c r="K90" s="44" t="str">
        <f>IF(SUM($H88:K88) &gt; SUM($H86:K86),  " N/A", IF(SUM($H88:$BG88) = SUM($H71:$BH71),    " ",IF(K88 = SUM($H71:$BH71),  " ",   "x")))</f>
        <v>x</v>
      </c>
      <c r="L90" s="44" t="str">
        <f>IF(SUM($H88:L88) &gt; SUM($H86:L86),  " N/A", IF(SUM($H88:$BG88) = SUM($H71:$BH71),    " ",IF(L88 = SUM($H71:$BH71),  " ",   "x")))</f>
        <v>x</v>
      </c>
      <c r="M90" s="44" t="str">
        <f>IF(SUM($H88:M88) &gt; SUM($H86:M86),  " N/A", IF(SUM($H88:$BG88) = SUM($H71:$BH71),    " ",IF(M88 = SUM($H71:$BH71),  " ",   "x")))</f>
        <v>x</v>
      </c>
      <c r="N90" s="44" t="str">
        <f>IF(SUM($H88:N88) &gt; SUM($H86:N86),  " N/A", IF(SUM($H88:$BG88) = SUM($H71:$BH71),    " ",IF(N88 = SUM($H71:$BH71),  " ",   "x")))</f>
        <v>x</v>
      </c>
      <c r="O90" s="44" t="str">
        <f>IF(SUM($H88:O88) &gt; SUM($H86:O86),  " N/A", IF(SUM($H88:$BG88) = SUM($H71:$BH71),    " ",IF(O88 = SUM($H71:$BH71),  " ",   "x")))</f>
        <v>x</v>
      </c>
      <c r="P90" s="44" t="str">
        <f>IF(SUM($H88:P88) &gt; SUM($H86:P86),  " N/A", IF(SUM($H88:$BG88) = SUM($H71:$BH71),    " ",IF(P88 = SUM($H71:$BH71),  " ",   "x")))</f>
        <v>x</v>
      </c>
      <c r="Q90" s="44" t="str">
        <f>IF(SUM($H88:Q88) &gt; SUM($H86:Q86),  " N/A", IF(SUM($H88:$BG88) = SUM($H71:$BH71),    " ",IF(Q88 = SUM($H71:$BH71),  " ",   "x")))</f>
        <v>x</v>
      </c>
      <c r="R90" s="44" t="str">
        <f>IF(SUM($H88:R88) &gt; SUM($H86:R86),  " N/A", IF(SUM($H88:$BG88) = SUM($H71:$BH71),    " ",IF(R88 = SUM($H71:$BH71),  " ",   "x")))</f>
        <v>x</v>
      </c>
      <c r="S90" s="44" t="str">
        <f>IF(SUM($H88:S88) &gt; SUM($H86:S86),  " N/A", IF(SUM($H88:$BG88) = SUM($H71:$BH71),    " ",IF(S88 = SUM($H71:$BH71),  " ",   "x")))</f>
        <v>x</v>
      </c>
      <c r="T90" s="44" t="str">
        <f>IF(SUM($H88:T88) &gt; SUM($H86:T86),  " N/A", IF(SUM($H88:$BG88) = SUM($H71:$BH71),    " ",IF(T88 = SUM($H71:$BH71),  " ",   "x")))</f>
        <v>x</v>
      </c>
      <c r="U90" s="44" t="str">
        <f>IF(SUM($H88:U88) &gt; SUM($H86:U86),  " N/A", IF(SUM($H88:$BG88) = SUM($H71:$BH71),    " ",IF(U88 = SUM($H71:$BH71),  " ",   "x")))</f>
        <v>x</v>
      </c>
      <c r="V90" s="44" t="str">
        <f>IF(SUM($H88:V88) &gt; SUM($H86:V86),  " N/A", IF(SUM($H88:$BG88) = SUM($H71:$BH71),    " ",IF(V88 = SUM($H71:$BH71),  " ",   "x")))</f>
        <v>x</v>
      </c>
      <c r="W90" s="44" t="str">
        <f>IF(SUM($H88:W88) &gt; SUM($H86:W86),  " N/A", IF(SUM($H88:$BG88) = SUM($H71:$BH71),    " ",IF(W88 = SUM($H71:$BH71),  " ",   "x")))</f>
        <v>x</v>
      </c>
      <c r="X90" s="44" t="str">
        <f>IF(SUM($H88:X88) &gt; SUM($H86:X86),  " N/A", IF(SUM($H88:$BG88) = SUM($H71:$BH71),    " ",IF(X88 = SUM($H71:$BH71),  " ",   "x")))</f>
        <v>x</v>
      </c>
      <c r="Y90" s="44" t="str">
        <f>IF(SUM($H88:Y88) &gt; SUM($H86:Y86),  " N/A", IF(SUM($H88:$BG88) = SUM($H71:$BH71),    " ",IF(Y88 = SUM($H71:$BH71),  " ",   "x")))</f>
        <v>x</v>
      </c>
      <c r="Z90" s="44" t="str">
        <f>IF(SUM($H88:Z88) &gt; SUM($H86:Z86),  " N/A", IF(SUM($H88:$BG88) = SUM($H71:$BH71),    " ",IF(Z88 = SUM($H71:$BH71),  " ",   "x")))</f>
        <v>x</v>
      </c>
      <c r="AA90" s="44" t="str">
        <f>IF(SUM($H88:AA88) &gt; SUM($H86:AA86),  " N/A", IF(SUM($H88:$BG88) = SUM($H71:$BH71),    " ",IF(AA88 = SUM($H71:$BH71),  " ",   "x")))</f>
        <v>x</v>
      </c>
      <c r="AB90" s="44" t="str">
        <f>IF(SUM($H88:AB88) &gt; SUM($H86:AB86),  " N/A", IF(SUM($H88:$BG88) = SUM($H71:$BH71),    " ",IF(AB88 = SUM($H71:$BH71),  " ",   "x")))</f>
        <v>x</v>
      </c>
      <c r="AC90" s="44" t="str">
        <f>IF(SUM($H88:AC88) &gt; SUM($H86:AC86),  " N/A", IF(SUM($H88:$BG88) = SUM($H71:$BH71),    " ",IF(AC88 = SUM($H71:$BH71),  " ",   "x")))</f>
        <v>x</v>
      </c>
      <c r="AD90" s="44" t="str">
        <f>IF(SUM($H88:AD88) &gt; SUM($H86:AD86),  " N/A", IF(SUM($H88:$BG88) = SUM($H71:$BH71),    " ",IF(AD88 = SUM($H71:$BH71),  " ",   "x")))</f>
        <v>x</v>
      </c>
      <c r="AE90" s="44" t="str">
        <f>IF(SUM($H88:AE88) &gt; SUM($H86:AE86),  " N/A", IF(SUM($H88:$BG88) = SUM($H71:$BH71),    " ",IF(AE88 = SUM($H71:$BH71),  " ",   "x")))</f>
        <v>x</v>
      </c>
      <c r="AF90" s="44" t="str">
        <f>IF(SUM($H88:AF88) &gt; SUM($H86:AF86),  " N/A", IF(SUM($H88:$BG88) = SUM($H71:$BH71),    " ",IF(AF88 = SUM($H71:$BH71),  " ",   "x")))</f>
        <v>x</v>
      </c>
      <c r="AG90" s="44" t="str">
        <f>IF(SUM($H88:AG88) &gt; SUM($H86:AG86),  " N/A", IF(SUM($H88:$BG88) = SUM($H71:$BH71),    " ",IF(AG88 = SUM($H71:$BH71),  " ",   "x")))</f>
        <v>x</v>
      </c>
      <c r="AH90" s="44" t="str">
        <f>IF(SUM($H88:AH88) &gt; SUM($H86:AH86),  " N/A", IF(SUM($H88:$BG88) = SUM($H71:$BH71),    " ",IF(AH88 = SUM($H71:$BH71),  " ",   "x")))</f>
        <v>x</v>
      </c>
      <c r="AI90" s="44" t="str">
        <f>IF(SUM($H88:AI88) &gt; SUM($H86:AI86),  " N/A", IF(SUM($H88:$BG88) = SUM($H71:$BH71),    " ",IF(AI88 = SUM($H71:$BH71),  " ",   "x")))</f>
        <v>x</v>
      </c>
      <c r="AJ90" s="44" t="str">
        <f>IF(SUM($H88:AJ88) &gt; SUM($H86:AJ86),  " N/A", IF(SUM($H88:$BG88) = SUM($H71:$BH71),    " ",IF(AJ88 = SUM($H71:$BH71),  " ",   "x")))</f>
        <v>x</v>
      </c>
      <c r="AK90" s="44" t="str">
        <f>IF(SUM($H88:AK88) &gt; SUM($H86:AK86),  " N/A", IF(SUM($H88:$BG88) = SUM($H71:$BH71),    " ",IF(AK88 = SUM($H71:$BH71),  " ",   "x")))</f>
        <v>x</v>
      </c>
      <c r="AL90" s="44" t="str">
        <f>IF(SUM($H88:AL88) &gt; SUM($H86:AL86),  " N/A", IF(SUM($H88:$BG88) = SUM($H71:$BH71),    " ",IF(AL88 = SUM($H71:$BH71),  " ",   "x")))</f>
        <v>x</v>
      </c>
      <c r="AM90" s="44" t="str">
        <f>IF(SUM($H88:AM88) &gt; SUM($H86:AM86),  " N/A", IF(SUM($H88:$BG88) = SUM($H71:$BH71),    " ",IF(AM88 = SUM($H71:$BH71),  " ",   "x")))</f>
        <v>x</v>
      </c>
      <c r="AN90" s="44" t="str">
        <f>IF(SUM($H88:AN88) &gt; SUM($H86:AN86),  " N/A", IF(SUM($H88:$BG88) = SUM($H71:$BH71),    " ",IF(AN88 = SUM($H71:$BH71),  " ",   "x")))</f>
        <v>x</v>
      </c>
      <c r="AO90" s="44" t="str">
        <f>IF(SUM($H88:AO88) &gt; SUM($H86:AO86),  " N/A", IF(SUM($H88:$BG88) = SUM($H71:$BH71),    " ",IF(AO88 = SUM($H71:$BH71),  " ",   "x")))</f>
        <v>x</v>
      </c>
      <c r="AP90" s="44" t="str">
        <f>IF(SUM($H88:AP88) &gt; SUM($H86:AP86),  " N/A", IF(SUM($H88:$BG88) = SUM($H71:$BH71),    " ",IF(AP88 = SUM($H71:$BH71),  " ",   "x")))</f>
        <v>x</v>
      </c>
      <c r="AQ90" s="44" t="str">
        <f>IF(SUM($H88:AQ88) &gt; SUM($H86:AQ86),  " N/A", IF(SUM($H88:$BG88) = SUM($H71:$BH71),    " ",IF(AQ88 = SUM($H71:$BH71),  " ",   "x")))</f>
        <v>x</v>
      </c>
      <c r="AR90" s="44" t="str">
        <f>IF(SUM($H88:AR88) &gt; SUM($H86:AR86),  " N/A", IF(SUM($H88:$BG88) = SUM($H71:$BH71),    " ",IF(AR88 = SUM($H71:$BH71),  " ",   "x")))</f>
        <v>x</v>
      </c>
      <c r="AS90" s="44" t="str">
        <f>IF(SUM($H88:AS88) &gt; SUM($H86:AS86),  " N/A", IF(SUM($H88:$BG88) = SUM($H71:$BH71),    " ",IF(AS88 = SUM($H71:$BH71),  " ",   "x")))</f>
        <v>x</v>
      </c>
      <c r="AT90" s="44" t="str">
        <f>IF(SUM($H88:AT88) &gt; SUM($H86:AT86),  " N/A", IF(SUM($H88:$BG88) = SUM($H71:$BH71),    " ",IF(AT88 = SUM($H71:$BH71),  " ",   "x")))</f>
        <v>x</v>
      </c>
      <c r="AU90" s="44" t="str">
        <f>IF(SUM($H88:AU88) &gt; SUM($H86:AU86),  " N/A", IF(SUM($H88:$BG88) = SUM($H71:$BH71),    " ",IF(AU88 = SUM($H71:$BH71),  " ",   "x")))</f>
        <v>x</v>
      </c>
      <c r="AV90" s="44" t="str">
        <f>IF(SUM($H88:AV88) &gt; SUM($H86:AV86),  " N/A", IF(SUM($H88:$BG88) = SUM($H71:$BH71),    " ",IF(AV88 = SUM($H71:$BH71),  " ",   "x")))</f>
        <v>x</v>
      </c>
      <c r="AW90" s="44" t="str">
        <f>IF(SUM($H88:AW88) &gt; SUM($H86:AW86),  " N/A", IF(SUM($H88:$BG88) = SUM($H71:$BH71),    " ",IF(AW88 = SUM($H71:$BH71),  " ",   "x")))</f>
        <v>x</v>
      </c>
      <c r="AX90" s="44" t="str">
        <f>IF(SUM($H88:AX88) &gt; SUM($H86:AX86),  " N/A", IF(SUM($H88:$BG88) = SUM($H71:$BH71),    " ",IF(AX88 = SUM($H71:$BH71),  " ",   "x")))</f>
        <v>x</v>
      </c>
      <c r="AY90" s="44" t="str">
        <f>IF(SUM($H88:AY88) &gt; SUM($H86:AY86),  " N/A", IF(SUM($H88:$BG88) = SUM($H71:$BH71),    " ",IF(AY88 = SUM($H71:$BH71),  " ",   "x")))</f>
        <v>x</v>
      </c>
      <c r="AZ90" s="44" t="str">
        <f>IF(SUM($H88:AZ88) &gt; SUM($H86:AZ86),  " N/A", IF(SUM($H88:$BG88) = SUM($H71:$BH71),    " ",IF(AZ88 = SUM($H71:$BH71),  " ",   "x")))</f>
        <v>x</v>
      </c>
      <c r="BA90" s="44" t="str">
        <f>IF(SUM($H88:BA88) &gt; SUM($H86:BA86),  " N/A", IF(SUM($H88:$BG88) = SUM($H71:$BH71),    " ",IF(BA88 = SUM($H71:$BH71),  " ",   "x")))</f>
        <v>x</v>
      </c>
      <c r="BB90" s="44" t="str">
        <f>IF(SUM($H88:BB88) &gt; SUM($H86:BB86),  " N/A", IF(SUM($H88:$BG88) = SUM($H71:$BH71),    " ",IF(BB88 = SUM($H71:$BH71),  " ",   "x")))</f>
        <v>x</v>
      </c>
      <c r="BC90" s="44" t="str">
        <f>IF(SUM($H88:BC88) &gt; SUM($H86:BC86),  " N/A", IF(SUM($H88:$BG88) = SUM($H71:$BH71),    " ",IF(BC88 = SUM($H71:$BH71),  " ",   "x")))</f>
        <v>x</v>
      </c>
      <c r="BD90" s="44" t="str">
        <f>IF(SUM($H88:BD88) &gt; SUM($H86:BD86),  " N/A", IF(SUM($H88:$BG88) = SUM($H71:$BH71),    " ",IF(BD88 = SUM($H71:$BH71),  " ",   "x")))</f>
        <v>x</v>
      </c>
      <c r="BE90" s="44" t="str">
        <f>IF(SUM($H88:BE88) &gt; SUM($H86:BE86),  " N/A", IF(SUM($H88:$BG88) = SUM($H71:$BH71),    " ",IF(BE88 = SUM($H71:$BH71),  " ",   "x")))</f>
        <v>x</v>
      </c>
      <c r="BF90" s="44" t="str">
        <f>IF(SUM($H88:BF88) &gt; SUM($H86:BF86),  " N/A", IF(SUM($H88:$BG88) = SUM($H71:$BH71),    " ",IF(BF88 = SUM($H71:$BH71),  " ",   "x")))</f>
        <v>x</v>
      </c>
      <c r="BG90" s="44" t="str">
        <f>IF(SUM($H88:BG88) &gt; SUM($H86:BG86),  " N/A", IF(SUM($H88:$BG88) = SUM($H71:$BH71),    " ",IF(BG88 = SUM($H71:$BH71),  " ",   "x")))</f>
        <v>x</v>
      </c>
      <c r="BH90" s="21"/>
    </row>
    <row r="91" spans="2:60" ht="15.6" x14ac:dyDescent="0.3">
      <c r="B91" s="71"/>
      <c r="C91" s="77"/>
      <c r="D91" s="82" t="s">
        <v>249</v>
      </c>
      <c r="E91" s="54">
        <f>SUM(H91:BG91)</f>
        <v>0</v>
      </c>
      <c r="F91" s="115">
        <f>Gant_24!$E91-E93</f>
        <v>0</v>
      </c>
      <c r="H91" s="41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>
        <v>0</v>
      </c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42"/>
      <c r="BB91" s="42"/>
      <c r="BC91" s="42"/>
      <c r="BD91" s="42"/>
      <c r="BE91" s="42"/>
      <c r="BF91" s="42"/>
      <c r="BG91" s="42"/>
      <c r="BH91" s="21"/>
    </row>
    <row r="92" spans="2:60" ht="15.6" x14ac:dyDescent="0.3">
      <c r="B92" s="68"/>
      <c r="C92" s="78"/>
      <c r="D92" s="83" t="s">
        <v>261</v>
      </c>
      <c r="E92" s="55">
        <f>SUM(H92:BG92)</f>
        <v>0</v>
      </c>
      <c r="F92" s="116"/>
      <c r="H92" s="43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  <c r="AT92" s="44"/>
      <c r="AU92" s="44"/>
      <c r="AV92" s="44"/>
      <c r="AW92" s="44"/>
      <c r="AX92" s="44"/>
      <c r="AY92" s="44"/>
      <c r="AZ92" s="44"/>
      <c r="BA92" s="44"/>
      <c r="BB92" s="44"/>
      <c r="BC92" s="44"/>
      <c r="BD92" s="44"/>
      <c r="BE92" s="44"/>
      <c r="BF92" s="44"/>
      <c r="BG92" s="44"/>
      <c r="BH92" s="21"/>
    </row>
    <row r="93" spans="2:60" ht="15.6" x14ac:dyDescent="0.3">
      <c r="B93" s="68" t="s">
        <v>97</v>
      </c>
      <c r="C93" s="78" t="s">
        <v>98</v>
      </c>
      <c r="D93" s="83" t="s">
        <v>241</v>
      </c>
      <c r="E93" s="55">
        <f>SUM(H93:BG93)</f>
        <v>0</v>
      </c>
      <c r="F93" s="116"/>
      <c r="H93" s="45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  <c r="AO93" s="46"/>
      <c r="AP93" s="46"/>
      <c r="AQ93" s="46"/>
      <c r="AR93" s="46"/>
      <c r="AS93" s="46"/>
      <c r="AT93" s="46"/>
      <c r="AU93" s="46"/>
      <c r="AV93" s="46"/>
      <c r="AW93" s="46"/>
      <c r="AX93" s="46"/>
      <c r="AY93" s="46"/>
      <c r="AZ93" s="46"/>
      <c r="BA93" s="46"/>
      <c r="BB93" s="46"/>
      <c r="BC93" s="46"/>
      <c r="BD93" s="46"/>
      <c r="BE93" s="46"/>
      <c r="BF93" s="46"/>
      <c r="BG93" s="46"/>
      <c r="BH93" s="21"/>
    </row>
    <row r="94" spans="2:60" ht="15.6" x14ac:dyDescent="0.3">
      <c r="B94" s="68"/>
      <c r="C94" s="78"/>
      <c r="D94" s="83" t="s">
        <v>278</v>
      </c>
      <c r="E94" s="56">
        <f>MAX(H94:BG94)</f>
        <v>0</v>
      </c>
      <c r="F94" s="116"/>
      <c r="H94" s="47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B94" s="48"/>
      <c r="AC94" s="48" t="str">
        <f>IF(SUM(H91:BG91) = AC93, " 0 ", " ")</f>
        <v xml:space="preserve"> 0 </v>
      </c>
      <c r="AD94" s="48"/>
      <c r="AE94" s="48" t="str">
        <f>IF(AE93=0," ",IF(SUM($AC93:AE93)&gt;SUM($AC91:$BG91)," ",(2-(SUM($AC93:AD93)/(SUM($AC91:$BG91))))))</f>
        <v xml:space="preserve"> </v>
      </c>
      <c r="AF94" s="48" t="str">
        <f>IF(AF93=0," ",IF(SUM($AC93:AF93)&gt;SUM($AC91:$BG91)," ",(3-(SUM($AC93:AE93)/(SUM($AC91:$BG91))))))</f>
        <v xml:space="preserve"> </v>
      </c>
      <c r="AG94" s="48" t="str">
        <f>IF(AG93=0," ",IF(SUM($AC93:AG93)&gt;SUM($AC91:$BG91)," ",(4-(SUM($AC93:AF93)/(SUM($AC91:$BG91))))))</f>
        <v xml:space="preserve"> </v>
      </c>
      <c r="AH94" s="48" t="str">
        <f>IF(AH93=0," ",IF(SUM($AC93:AH93)&gt;SUM($AC91:$BG91)," ",(5-(SUM($AC93:AG93)/(SUM($AC91:$BG91))))))</f>
        <v xml:space="preserve"> </v>
      </c>
      <c r="AI94" s="48" t="str">
        <f>IF(AI93=0," ",IF(SUM($AC93:AI93)&gt;SUM($AC91:$BG91)," ",(6-(SUM($AC93:AH93)/(SUM($AC91:$BG91))))))</f>
        <v xml:space="preserve"> </v>
      </c>
      <c r="AJ94" s="48" t="str">
        <f>IF(AJ93=0," ",IF(SUM($AC93:AJ93)&gt;SUM($AC91:$BG91)," ",(7-(SUM($AC93:AI93)/(SUM($AC91:$BG91))))))</f>
        <v xml:space="preserve"> </v>
      </c>
      <c r="AK94" s="48" t="str">
        <f>IF(AK93=0," ",IF(SUM($AC93:AK93)&gt;SUM($AC91:$BG91)," ",(8-(SUM($AC93:AJ93)/(SUM($AC91:$BG91))))))</f>
        <v xml:space="preserve"> </v>
      </c>
      <c r="AL94" s="48" t="str">
        <f>IF(AL93=0," ",IF(SUM($AC93:AL93)&gt;SUM($AC91:$BG91)," ",(9-(SUM($AC93:AK93)/(SUM($AC91:$BG91))))))</f>
        <v xml:space="preserve"> </v>
      </c>
      <c r="AM94" s="48" t="str">
        <f>IF(AM93=0," ",IF(SUM($AC93:AM93)&gt;SUM($AC91:$BG91)," ",(10-(SUM($AC93:AL93)/(SUM($AC91:$BG91))))))</f>
        <v xml:space="preserve"> </v>
      </c>
      <c r="AN94" s="48" t="str">
        <f>IF(AN93=0," ",IF(SUM($AC93:AN93)&gt;SUM($AC91:$BG91)," ",(11-(SUM($AC93:AM93)/(SUM($AC91:$BG91))))))</f>
        <v xml:space="preserve"> </v>
      </c>
      <c r="AO94" s="48" t="str">
        <f>IF(AO93=0," ",IF(SUM($AC93:AO93)&gt;SUM($AC91:$BG91)," ",(12-(SUM($AC93:AN93)/(SUM($AC91:$BG91))))))</f>
        <v xml:space="preserve"> </v>
      </c>
      <c r="AP94" s="48" t="str">
        <f>IF(AP93=0," ",IF(SUM($AC93:AP93)&gt;SUM($AC91:$BG91)," ",(13-(SUM($AC93:AO93)/(SUM($AC91:$BG91))))))</f>
        <v xml:space="preserve"> </v>
      </c>
      <c r="AQ94" s="48" t="str">
        <f>IF(AQ93=0," ",IF(SUM($AC93:AQ93)&gt;SUM($AC91:$BG91)," ",(14-(SUM($AC93:AP93)/(SUM($AC91:$BG91))))))</f>
        <v xml:space="preserve"> </v>
      </c>
      <c r="AR94" s="48" t="str">
        <f>IF(AR93=0," ",IF(SUM($AC93:AR93)&gt;SUM($AC91:$BG91)," ",(15-(SUM($AC93:AQ93)/(SUM($AC91:$BG91))))))</f>
        <v xml:space="preserve"> </v>
      </c>
      <c r="AS94" s="48" t="str">
        <f>IF(AS93=0," ",IF(SUM($AC93:AS93)&gt;SUM($AC91:$BG91)," ",(16-(SUM($AC93:AR93)/(SUM($AC91:$BG91))))))</f>
        <v xml:space="preserve"> </v>
      </c>
      <c r="AT94" s="48" t="str">
        <f>IF(AT93=0," ",IF(SUM($AC93:AT93)&gt;SUM($AC91:$BG91)," ",(17-(SUM($AC93:AS93)/(SUM($AC91:$BG91))))))</f>
        <v xml:space="preserve"> </v>
      </c>
      <c r="AU94" s="48" t="str">
        <f>IF(AU93=0," ",IF(SUM($AC93:AU93)&gt;SUM($AC91:$BG91)," ",(18-(SUM($AC93:AT93)/(SUM($AC91:$BG91))))))</f>
        <v xml:space="preserve"> </v>
      </c>
      <c r="AV94" s="48" t="str">
        <f>IF(AV93=0," ",IF(SUM($AC93:AV93)&gt;SUM($AC91:$BG91)," ",(19-(SUM($AC93:AU93)/(SUM($AC91:$BG91))))))</f>
        <v xml:space="preserve"> </v>
      </c>
      <c r="AW94" s="48" t="str">
        <f>IF(AW93=0," ",IF(SUM($AC93:AW93)&gt;SUM($AC91:$BG91)," ",(20-(SUM($AC93:AV93)/(SUM($AC91:$BG91))))))</f>
        <v xml:space="preserve"> </v>
      </c>
      <c r="AX94" s="48" t="str">
        <f>IF(AX93=0," ",IF(SUM($AC93:AX93)&gt;SUM($AC91:$BG91)," ",(21-(SUM($AC93:AW93)/(SUM($AC91:$BG91))))))</f>
        <v xml:space="preserve"> </v>
      </c>
      <c r="AY94" s="48" t="str">
        <f>IF(AY93=0," ",IF(SUM($AC93:AY93)&gt;SUM($AC91:$BG91)," ",(22-(SUM($AC93:AX93)/(SUM($AC91:$BG91))))))</f>
        <v xml:space="preserve"> </v>
      </c>
      <c r="AZ94" s="48" t="str">
        <f>IF(AZ93=0," ",IF(SUM($AC93:AZ93)&gt;SUM($AC91:$BG91)," ",(23-(SUM($AC93:AY93)/(SUM($AC91:$BG91))))))</f>
        <v xml:space="preserve"> </v>
      </c>
      <c r="BA94" s="48" t="str">
        <f>IF(BA93=0," ",IF(SUM($AC93:BA93)&gt;SUM($AC91:$BG91)," ",(24-(SUM($AC93:AZ93)/(SUM($AC91:$BG91))))))</f>
        <v xml:space="preserve"> </v>
      </c>
      <c r="BB94" s="48" t="str">
        <f>IF(BB93=0," ",IF(SUM($AC93:BB93)&gt;SUM($AC91:$BG91)," ",(25-(SUM($AC93:BA93)/(SUM($AC91:$BG91))))))</f>
        <v xml:space="preserve"> </v>
      </c>
      <c r="BC94" s="48" t="str">
        <f>IF(BC93=0," ",IF(SUM($AC93:BC93)&gt;SUM($AC91:$BG91)," ",(26-(SUM($AC93:BB93)/(SUM($AC91:$BG91))))))</f>
        <v xml:space="preserve"> </v>
      </c>
      <c r="BD94" s="48" t="str">
        <f>IF(BD93=0," ",IF(SUM($AC93:BD93)&gt;SUM($AC91:$BG91)," ",(27-(SUM($AC93:BC93)/(SUM($AC91:$BG91))))))</f>
        <v xml:space="preserve"> </v>
      </c>
      <c r="BE94" s="48" t="str">
        <f>IF(BE93=0," ",IF(SUM($AC93:BE93)&gt;SUM($AC91:$BG91)," ",(28-(SUM($AC93:BD93)/(SUM($AC91:$BG91))))))</f>
        <v xml:space="preserve"> </v>
      </c>
      <c r="BF94" s="48" t="str">
        <f>IF(BF93=0," ",IF(SUM($AC93:BF93)&gt;SUM($AC91:$BG91)," ",(29-(SUM($AC93:BE93)/(SUM($AC91:$BG91))))))</f>
        <v xml:space="preserve"> </v>
      </c>
      <c r="BG94" s="48" t="str">
        <f>IF(BG93=0," ",IF(SUM($AC93:BG93)&gt;SUM($AC91:$BG91)," ",(30-(SUM($AC93:BF93)/(SUM($AC91:$BG91))))))</f>
        <v xml:space="preserve"> </v>
      </c>
      <c r="BH94" s="21"/>
    </row>
    <row r="95" spans="2:60" ht="16.2" thickBot="1" x14ac:dyDescent="0.35">
      <c r="B95" s="70"/>
      <c r="C95" s="79"/>
      <c r="D95" s="84"/>
      <c r="E95" s="57"/>
      <c r="F95" s="117"/>
      <c r="H95" s="49" t="str">
        <f>IF(H91= " ", " ",IF(H93&gt;SUM($H91:$BG91), " N/A", IF(SUM($H93:$BG93)=SUM($H91:BG91), " ", IF(H93=SUM($H91:BG91), " ", "x"))))</f>
        <v xml:space="preserve"> </v>
      </c>
      <c r="I95" s="50" t="str">
        <f>IF(SUM($H93:I93) &gt; SUM($H91:I91),  " N/A", IF(SUM($H93:$BG93) = SUM($H91:$BH91),    " ",IF(I93 = SUM($H91:$BH91),  " ",   "x")))</f>
        <v xml:space="preserve"> </v>
      </c>
      <c r="J95" s="50" t="str">
        <f>IF(SUM($H93:J93) &gt; SUM($H91:J91),  " N/A", IF(SUM($H93:$BG93) = SUM($H91:$BH91),    " ",IF(J93 = SUM($H91:$BH91),  " ",   "x")))</f>
        <v xml:space="preserve"> </v>
      </c>
      <c r="K95" s="50" t="str">
        <f>IF(SUM($H93:K93) &gt; SUM($H91:K91),  " N/A", IF(SUM($H93:$BG93) = SUM($H91:$BH91),    " ",IF(K93 = SUM($H91:$BH91),  " ",   "x")))</f>
        <v xml:space="preserve"> </v>
      </c>
      <c r="L95" s="50" t="str">
        <f>IF(SUM($H93:L93) &gt; SUM($H91:L91),  " N/A", IF(SUM($H93:$BG93) = SUM($H75:$BH75),    " ",IF(L93 = SUM($H75:$BH75),  " ",   "x")))</f>
        <v xml:space="preserve"> </v>
      </c>
      <c r="M95" s="50" t="str">
        <f>IF(SUM($H93:M93) &gt; SUM($H91:M91),  " N/A", IF(SUM($H93:$BG93) = SUM($H75:$BH75),    " ",IF(M93 = SUM($H75:$BH75),  " ",   "x")))</f>
        <v xml:space="preserve"> </v>
      </c>
      <c r="N95" s="50" t="str">
        <f>IF(SUM($H93:N93) &gt; SUM($H91:N91),  " N/A", IF(SUM($H93:$BG93) = SUM($H75:$BH75),    " ",IF(N93 = SUM($H75:$BH75),  " ",   "x")))</f>
        <v xml:space="preserve"> </v>
      </c>
      <c r="O95" s="50" t="str">
        <f>IF(SUM($H93:O93) &gt; SUM($H91:O91),  " N/A", IF(SUM($H93:$BG93) = SUM($H75:$BH75),    " ",IF(O93 = SUM($H75:$BH75),  " ",   "x")))</f>
        <v xml:space="preserve"> </v>
      </c>
      <c r="P95" s="50" t="str">
        <f>IF(SUM($H93:P93) &gt; SUM($H91:P91),  " N/A", IF(SUM($H93:$BG93) = SUM($H75:$BH75),    " ",IF(P93 = SUM($H75:$BH75),  " ",   "x")))</f>
        <v xml:space="preserve"> </v>
      </c>
      <c r="Q95" s="50" t="str">
        <f>IF(SUM($H93:Q93) &gt; SUM($H91:Q91),  " N/A", IF(SUM($H93:$BG93) = SUM($H75:$BH75),    " ",IF(Q93 = SUM($H75:$BH75),  " ",   "x")))</f>
        <v xml:space="preserve"> </v>
      </c>
      <c r="R95" s="50" t="str">
        <f>IF(SUM($H93:R93) &gt; SUM($H91:R91),  " N/A", IF(SUM($H93:$BG93) = SUM($H75:$BH75),    " ",IF(R93 = SUM($H75:$BH75),  " ",   "x")))</f>
        <v xml:space="preserve"> </v>
      </c>
      <c r="S95" s="50" t="str">
        <f>IF(SUM($H93:S93) &gt; SUM($H91:S91),  " N/A", IF(SUM($H93:$BG93) = SUM($H75:$BH75),    " ",IF(S93 = SUM($H75:$BH75),  " ",   "x")))</f>
        <v xml:space="preserve"> </v>
      </c>
      <c r="T95" s="50" t="str">
        <f>IF(SUM($H93:T93) &gt; SUM($H91:T91),  " N/A", IF(SUM($H93:$BG93) = SUM($H75:$BH75),    " ",IF(T93 = SUM($H75:$BH75),  " ",   "x")))</f>
        <v xml:space="preserve"> </v>
      </c>
      <c r="U95" s="50" t="str">
        <f>IF(SUM($H93:U93) &gt; SUM($H91:U91),  " N/A", IF(SUM($H93:$BG93) = SUM($H75:$BH75),    " ",IF(U93 = SUM($H75:$BH75),  " ",   "x")))</f>
        <v xml:space="preserve"> </v>
      </c>
      <c r="V95" s="50" t="str">
        <f>IF(SUM($H93:V93) &gt; SUM($H91:V91),  " N/A", IF(SUM($H93:$BG93) = SUM($H75:$BH75),    " ",IF(V93 = SUM($H75:$BH75),  " ",   "x")))</f>
        <v xml:space="preserve"> </v>
      </c>
      <c r="W95" s="50" t="str">
        <f>IF(SUM($H93:W93) &gt; SUM($H91:W91),  " N/A", IF(SUM($H93:$BG93) = SUM($H75:$BH75),    " ",IF(W93 = SUM($H75:$BH75),  " ",   "x")))</f>
        <v xml:space="preserve"> </v>
      </c>
      <c r="X95" s="50" t="str">
        <f>IF(SUM($H93:X93) &gt; SUM($H91:X91),  " N/A", IF(SUM($H93:$BG93) = SUM($H75:$BH75),    " ",IF(X93 = SUM($H75:$BH75),  " ",   "x")))</f>
        <v xml:space="preserve"> </v>
      </c>
      <c r="Y95" s="50" t="str">
        <f>IF(SUM($H93:Y93) &gt; SUM($H91:Y91),  " N/A", IF(SUM($H93:$BG93) = SUM($H75:$BH75),    " ",IF(Y93 = SUM($H75:$BH75),  " ",   "x")))</f>
        <v xml:space="preserve"> </v>
      </c>
      <c r="Z95" s="50" t="str">
        <f>IF(SUM($H93:Z93) &gt; SUM($H91:Z91),  " N/A", IF(SUM($H93:$BG93) = SUM($H75:$BH75),    " ",IF(Z93 = SUM($H75:$BH75),  " ",   "x")))</f>
        <v xml:space="preserve"> </v>
      </c>
      <c r="AA95" s="50" t="str">
        <f>IF(SUM($H93:AA93) &gt; SUM($H91:AA91),  " N/A", IF(SUM($H93:$BG93) = SUM($H75:$BH75),    " ",IF(AA93 = SUM($H75:$BH75),  " ",   "x")))</f>
        <v xml:space="preserve"> </v>
      </c>
      <c r="AB95" s="50" t="str">
        <f>IF(SUM($H93:AB93) &gt; SUM($H91:AB91),  " N/A", IF(SUM($H93:$BG93) = SUM($H75:$BH75),    " ",IF(AB93 = SUM($H75:$BH75),  " ",   "x")))</f>
        <v xml:space="preserve"> </v>
      </c>
      <c r="AC95" s="50" t="str">
        <f>IF(SUM($H93:AC93) &gt; SUM($H91:AC91),  " N/A", IF(SUM($H93:$BG93) = SUM($H75:$BH75),    " ",IF(AC93 = SUM($H75:$BH75),  " ",   "x")))</f>
        <v xml:space="preserve"> </v>
      </c>
      <c r="AD95" s="50"/>
      <c r="AE95" s="50" t="str">
        <f>IF(SUM($H93:AE93) &gt; SUM($H91:AE91),  " N/A", IF(SUM($H93:$BG93) = SUM($H75:$BH75),    " ",IF(AE93 = SUM($H75:$BH75),  " ",   "x")))</f>
        <v xml:space="preserve"> </v>
      </c>
      <c r="AF95" s="50" t="str">
        <f>IF(SUM($H93:AF93) &gt; SUM($H91:AF91),  " N/A", IF(SUM($H93:$BG93) = SUM($H75:$BH75),    " ",IF(AF93 = SUM($H75:$BH75),  " ",   "x")))</f>
        <v xml:space="preserve"> </v>
      </c>
      <c r="AG95" s="50" t="str">
        <f>IF(SUM($H93:AG93) &gt; SUM($H91:AG91),  " N/A", IF(SUM($H93:$BG93) = SUM($H75:$BH75),    " ",IF(AG93 = SUM($H75:$BH75),  " ",   "x")))</f>
        <v xml:space="preserve"> </v>
      </c>
      <c r="AH95" s="50" t="str">
        <f>IF(SUM($H93:AH93) &gt; SUM($H91:AH91),  " N/A", IF(SUM($H93:$BG93) = SUM($H75:$BH75),    " ",IF(AH93 = SUM($H75:$BH75),  " ",   "x")))</f>
        <v xml:space="preserve"> </v>
      </c>
      <c r="AI95" s="50" t="str">
        <f>IF(SUM($H93:AI93) &gt; SUM($H91:AI91),  " N/A", IF(SUM($H93:$BG93) = SUM($H75:$BH75),    " ",IF(AI93 = SUM($H75:$BH75),  " ",   "x")))</f>
        <v xml:space="preserve"> </v>
      </c>
      <c r="AJ95" s="50" t="str">
        <f>IF(SUM($H93:AJ93) &gt; SUM($H91:AJ91),  " N/A", IF(SUM($H93:$BG93) = SUM($H75:$BH75),    " ",IF(AJ93 = SUM($H75:$BH75),  " ",   "x")))</f>
        <v xml:space="preserve"> </v>
      </c>
      <c r="AK95" s="50" t="str">
        <f>IF(SUM($H93:AK93) &gt; SUM($H91:AK91),  " N/A", IF(SUM($H93:$BG93) = SUM($H75:$BH75),    " ",IF(AK93 = SUM($H75:$BH75),  " ",   "x")))</f>
        <v xml:space="preserve"> </v>
      </c>
      <c r="AL95" s="50" t="str">
        <f>IF(SUM($H93:AL93) &gt; SUM($H91:AL91),  " N/A", IF(SUM($H93:$BG93) = SUM($H75:$BH75),    " ",IF(AL93 = SUM($H75:$BH75),  " ",   "x")))</f>
        <v xml:space="preserve"> </v>
      </c>
      <c r="AM95" s="50" t="str">
        <f>IF(SUM($H93:AM93) &gt; SUM($H91:AM91),  " N/A", IF(SUM($H93:$BG93) = SUM($H75:$BH75),    " ",IF(AM93 = SUM($H75:$BH75),  " ",   "x")))</f>
        <v xml:space="preserve"> </v>
      </c>
      <c r="AN95" s="50" t="str">
        <f>IF(SUM($H93:AN93) &gt; SUM($H91:AN91),  " N/A", IF(SUM($H93:$BG93) = SUM($H75:$BH75),    " ",IF(AN93 = SUM($H75:$BH75),  " ",   "x")))</f>
        <v xml:space="preserve"> </v>
      </c>
      <c r="AO95" s="50" t="str">
        <f>IF(SUM($H93:AO93) &gt; SUM($H91:AO91),  " N/A", IF(SUM($H93:$BG93) = SUM($H75:$BH75),    " ",IF(AO93 = SUM($H75:$BH75),  " ",   "x")))</f>
        <v xml:space="preserve"> </v>
      </c>
      <c r="AP95" s="50" t="str">
        <f>IF(SUM($H93:AP93) &gt; SUM($H91:AP91),  " N/A", IF(SUM($H93:$BG93) = SUM($H75:$BH75),    " ",IF(AP93 = SUM($H75:$BH75),  " ",   "x")))</f>
        <v xml:space="preserve"> </v>
      </c>
      <c r="AQ95" s="50" t="str">
        <f>IF(SUM($H93:AQ93) &gt; SUM($H91:AQ91),  " N/A", IF(SUM($H93:$BG93) = SUM($H75:$BH75),    " ",IF(AQ93 = SUM($H75:$BH75),  " ",   "x")))</f>
        <v xml:space="preserve"> </v>
      </c>
      <c r="AR95" s="50" t="str">
        <f>IF(SUM($H93:AR93) &gt; SUM($H91:AR91),  " N/A", IF(SUM($H93:$BG93) = SUM($H75:$BH75),    " ",IF(AR93 = SUM($H75:$BH75),  " ",   "x")))</f>
        <v xml:space="preserve"> </v>
      </c>
      <c r="AS95" s="50" t="str">
        <f>IF(SUM($H93:AS93) &gt; SUM($H91:AS91),  " N/A", IF(SUM($H93:$BG93) = SUM($H75:$BH75),    " ",IF(AS93 = SUM($H75:$BH75),  " ",   "x")))</f>
        <v xml:space="preserve"> </v>
      </c>
      <c r="AT95" s="50" t="str">
        <f>IF(SUM($H93:AT93) &gt; SUM($H91:AT91),  " N/A", IF(SUM($H93:$BG93) = SUM($H75:$BH75),    " ",IF(AT93 = SUM($H75:$BH75),  " ",   "x")))</f>
        <v xml:space="preserve"> </v>
      </c>
      <c r="AU95" s="50" t="str">
        <f>IF(SUM($H93:AU93) &gt; SUM($H91:AU91),  " N/A", IF(SUM($H93:$BG93) = SUM($H75:$BH75),    " ",IF(AU93 = SUM($H75:$BH75),  " ",   "x")))</f>
        <v xml:space="preserve"> </v>
      </c>
      <c r="AV95" s="50" t="str">
        <f>IF(SUM($H93:AV93) &gt; SUM($H91:AV91),  " N/A", IF(SUM($H93:$BG93) = SUM($H75:$BH75),    " ",IF(AV93 = SUM($H75:$BH75),  " ",   "x")))</f>
        <v xml:space="preserve"> </v>
      </c>
      <c r="AW95" s="50" t="str">
        <f>IF(SUM($H93:AW93) &gt; SUM($H91:AW91),  " N/A", IF(SUM($H93:$BG93) = SUM($H75:$BH75),    " ",IF(AW93 = SUM($H75:$BH75),  " ",   "x")))</f>
        <v xml:space="preserve"> </v>
      </c>
      <c r="AX95" s="50" t="str">
        <f>IF(SUM($H93:AX93) &gt; SUM($H91:AX91),  " N/A", IF(SUM($H93:$BG93) = SUM($H75:$BH75),    " ",IF(AX93 = SUM($H75:$BH75),  " ",   "x")))</f>
        <v xml:space="preserve"> </v>
      </c>
      <c r="AY95" s="50" t="str">
        <f>IF(SUM($H93:AY93) &gt; SUM($H91:AY91),  " N/A", IF(SUM($H93:$BG93) = SUM($H75:$BH75),    " ",IF(AY93 = SUM($H75:$BH75),  " ",   "x")))</f>
        <v xml:space="preserve"> </v>
      </c>
      <c r="AZ95" s="50" t="str">
        <f>IF(SUM($H93:AZ93) &gt; SUM($H91:AZ91),  " N/A", IF(SUM($H93:$BG93) = SUM($H75:$BH75),    " ",IF(AZ93 = SUM($H75:$BH75),  " ",   "x")))</f>
        <v xml:space="preserve"> </v>
      </c>
      <c r="BA95" s="50" t="str">
        <f>IF(SUM($H93:BA93) &gt; SUM($H91:BA91),  " N/A", IF(SUM($H93:$BG93) = SUM($H75:$BH75),    " ",IF(BA93 = SUM($H75:$BH75),  " ",   "x")))</f>
        <v xml:space="preserve"> </v>
      </c>
      <c r="BB95" s="50" t="str">
        <f>IF(SUM($H93:BB93) &gt; SUM($H91:BB91),  " N/A", IF(SUM($H93:$BG93) = SUM($H75:$BH75),    " ",IF(BB93 = SUM($H75:$BH75),  " ",   "x")))</f>
        <v xml:space="preserve"> </v>
      </c>
      <c r="BC95" s="50" t="str">
        <f>IF(SUM($H93:BC93) &gt; SUM($H91:BC91),  " N/A", IF(SUM($H93:$BG93) = SUM($H75:$BH75),    " ",IF(BC93 = SUM($H75:$BH75),  " ",   "x")))</f>
        <v xml:space="preserve"> </v>
      </c>
      <c r="BD95" s="50" t="str">
        <f>IF(SUM($H93:BD93) &gt; SUM($H91:BD91),  " N/A", IF(SUM($H93:$BG93) = SUM($H75:$BH75),    " ",IF(BD93 = SUM($H75:$BH75),  " ",   "x")))</f>
        <v xml:space="preserve"> </v>
      </c>
      <c r="BE95" s="50" t="str">
        <f>IF(SUM($H93:BE93) &gt; SUM($H91:BE91),  " N/A", IF(SUM($H93:$BG93) = SUM($H75:$BH75),    " ",IF(BE93 = SUM($H75:$BH75),  " ",   "x")))</f>
        <v xml:space="preserve"> </v>
      </c>
      <c r="BF95" s="50" t="str">
        <f>IF(SUM($H93:BF93) &gt; SUM($H91:BF91),  " N/A", IF(SUM($H93:$BG93) = SUM($H75:$BH75),    " ",IF(BF93 = SUM($H75:$BH75),  " ",   "x")))</f>
        <v xml:space="preserve"> </v>
      </c>
      <c r="BG95" s="50" t="str">
        <f>IF(SUM($H93:BG93) &gt; SUM($H91:BG91),  " N/A", IF(SUM($H93:$BG93) = SUM($H75:$BH75),    " ",IF(BG93 = SUM($H75:$BH75),  " ",   "x")))</f>
        <v xml:space="preserve"> </v>
      </c>
      <c r="BH95" s="21"/>
    </row>
    <row r="96" spans="2:60" ht="15.6" x14ac:dyDescent="0.3">
      <c r="B96" s="71"/>
      <c r="C96" s="77"/>
      <c r="D96" s="82" t="s">
        <v>249</v>
      </c>
      <c r="E96" s="54">
        <f>SUM(H96:BG96)</f>
        <v>16</v>
      </c>
      <c r="F96" s="115">
        <f>Gant_24!$E96-E98</f>
        <v>0</v>
      </c>
      <c r="H96" s="41"/>
      <c r="I96" s="42"/>
      <c r="J96" s="42"/>
      <c r="K96" s="42"/>
      <c r="L96" s="51"/>
      <c r="M96" s="51"/>
      <c r="N96" s="51"/>
      <c r="O96" s="51"/>
      <c r="P96" s="51"/>
      <c r="Q96" s="51"/>
      <c r="R96" s="51"/>
      <c r="S96" s="51"/>
      <c r="T96" s="51"/>
      <c r="U96" s="51"/>
      <c r="V96" s="51"/>
      <c r="W96" s="51"/>
      <c r="X96" s="51"/>
      <c r="Y96" s="51"/>
      <c r="Z96" s="51"/>
      <c r="AA96" s="51"/>
      <c r="AB96" s="51"/>
      <c r="AC96" s="51">
        <v>16</v>
      </c>
      <c r="AD96" s="51"/>
      <c r="AE96" s="51"/>
      <c r="AF96" s="51"/>
      <c r="AG96" s="51"/>
      <c r="AH96" s="51"/>
      <c r="AI96" s="51"/>
      <c r="AJ96" s="51"/>
      <c r="AK96" s="51"/>
      <c r="AL96" s="51"/>
      <c r="AM96" s="51"/>
      <c r="AN96" s="51"/>
      <c r="AO96" s="51"/>
      <c r="AP96" s="51"/>
      <c r="AQ96" s="51"/>
      <c r="AR96" s="51"/>
      <c r="AS96" s="51"/>
      <c r="AT96" s="51"/>
      <c r="AU96" s="51"/>
      <c r="AV96" s="51"/>
      <c r="AW96" s="51"/>
      <c r="AX96" s="51"/>
      <c r="AY96" s="51"/>
      <c r="AZ96" s="51"/>
      <c r="BA96" s="51"/>
      <c r="BB96" s="51"/>
      <c r="BC96" s="51"/>
      <c r="BD96" s="51"/>
      <c r="BE96" s="51"/>
      <c r="BF96" s="51"/>
      <c r="BG96" s="51"/>
      <c r="BH96" s="21"/>
    </row>
    <row r="97" spans="2:60" ht="15.6" x14ac:dyDescent="0.3">
      <c r="B97" s="68"/>
      <c r="C97" s="78"/>
      <c r="D97" s="83" t="s">
        <v>261</v>
      </c>
      <c r="E97" s="55">
        <f>SUM(H97:BG97)</f>
        <v>4</v>
      </c>
      <c r="F97" s="116"/>
      <c r="H97" s="43"/>
      <c r="I97" s="44"/>
      <c r="J97" s="44"/>
      <c r="K97" s="44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  <c r="AA97" s="50"/>
      <c r="AB97" s="50"/>
      <c r="AC97" s="50"/>
      <c r="AD97" s="50"/>
      <c r="AE97" s="50"/>
      <c r="AF97" s="50"/>
      <c r="AG97" s="50">
        <v>2</v>
      </c>
      <c r="AH97" s="50"/>
      <c r="AI97" s="50">
        <v>1</v>
      </c>
      <c r="AJ97" s="50">
        <v>1</v>
      </c>
      <c r="AK97" s="50"/>
      <c r="AL97" s="50"/>
      <c r="AM97" s="50"/>
      <c r="AN97" s="50"/>
      <c r="AO97" s="50"/>
      <c r="AP97" s="50"/>
      <c r="AQ97" s="50"/>
      <c r="AR97" s="50"/>
      <c r="AS97" s="50"/>
      <c r="AT97" s="50"/>
      <c r="AU97" s="50"/>
      <c r="AV97" s="50"/>
      <c r="AW97" s="50"/>
      <c r="AX97" s="50"/>
      <c r="AY97" s="50"/>
      <c r="AZ97" s="50"/>
      <c r="BA97" s="50"/>
      <c r="BB97" s="50"/>
      <c r="BC97" s="50"/>
      <c r="BD97" s="50"/>
      <c r="BE97" s="50"/>
      <c r="BF97" s="50"/>
      <c r="BG97" s="50"/>
      <c r="BH97" s="21"/>
    </row>
    <row r="98" spans="2:60" ht="15.6" x14ac:dyDescent="0.3">
      <c r="B98" s="68" t="s">
        <v>100</v>
      </c>
      <c r="C98" s="78" t="s">
        <v>101</v>
      </c>
      <c r="D98" s="83" t="s">
        <v>241</v>
      </c>
      <c r="E98" s="55">
        <f>SUM(H98:BG98)</f>
        <v>16</v>
      </c>
      <c r="F98" s="116"/>
      <c r="H98" s="45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>
        <v>16</v>
      </c>
      <c r="AH98" s="46"/>
      <c r="AI98" s="46"/>
      <c r="AJ98" s="46"/>
      <c r="AK98" s="46"/>
      <c r="AL98" s="46"/>
      <c r="AM98" s="46"/>
      <c r="AN98" s="46"/>
      <c r="AO98" s="46"/>
      <c r="AP98" s="46"/>
      <c r="AQ98" s="46"/>
      <c r="AR98" s="46"/>
      <c r="AS98" s="46"/>
      <c r="AT98" s="46"/>
      <c r="AU98" s="46"/>
      <c r="AV98" s="46"/>
      <c r="AW98" s="46"/>
      <c r="AX98" s="46"/>
      <c r="AY98" s="46"/>
      <c r="AZ98" s="46"/>
      <c r="BA98" s="46"/>
      <c r="BB98" s="46"/>
      <c r="BC98" s="46"/>
      <c r="BD98" s="46"/>
      <c r="BE98" s="46"/>
      <c r="BF98" s="46"/>
      <c r="BG98" s="46"/>
      <c r="BH98" s="21"/>
    </row>
    <row r="99" spans="2:60" ht="15.6" x14ac:dyDescent="0.3">
      <c r="B99" s="68"/>
      <c r="C99" s="78"/>
      <c r="D99" s="83" t="s">
        <v>278</v>
      </c>
      <c r="E99" s="56">
        <f ca="1">MAX(H99:BG99)</f>
        <v>0</v>
      </c>
      <c r="F99" s="116"/>
      <c r="H99" s="47"/>
      <c r="I99" s="48"/>
      <c r="J99" s="48"/>
      <c r="K99" s="48"/>
      <c r="L99" s="52"/>
      <c r="M99" s="52"/>
      <c r="N99" s="52"/>
      <c r="O99" s="52"/>
      <c r="P99" s="52"/>
      <c r="Q99" s="52"/>
      <c r="R99" s="52"/>
      <c r="S99" s="52"/>
      <c r="T99" s="52"/>
      <c r="U99" s="52"/>
      <c r="V99" s="52"/>
      <c r="W99" s="52"/>
      <c r="X99" s="52"/>
      <c r="Y99" s="52"/>
      <c r="Z99" s="52"/>
      <c r="AA99" s="48"/>
      <c r="AB99" s="48"/>
      <c r="AC99" s="48" t="str">
        <f>IF(SUM(H96:BG96) = AC98, " 0 ", " ")</f>
        <v xml:space="preserve"> </v>
      </c>
      <c r="AD99" s="48" t="str">
        <f ca="1">IF(AD9&gt;WEEKNUM(TODAY())," ", IF(AND(AD10="x",SUM($AC98:AD98)&gt;$AC96),H9-(SUM($AC98:AC98)/SUM($AC96:$BG96)),IF(SUM($AC98:AD98)&gt;=$AC96," ",H9-(SUM($AC98:AC98)/(SUM($AC96:$BG96))))))</f>
        <v xml:space="preserve"> </v>
      </c>
      <c r="AE99" s="48" t="str">
        <f ca="1">IF(AE9&gt;WEEKNUM(TODAY())," ", IF(AND(AE10="x",SUM($AC98:AE98)&gt;$AC96),I9-(SUM($AC98:AD98)/SUM($AC96:$BG96)),IF(SUM($AC98:AE98)&gt;=$AC96," ",I9-(SUM($AC98:AD98)/(SUM($AC96:$BG96))))))</f>
        <v xml:space="preserve"> </v>
      </c>
      <c r="AF99" s="48" t="str">
        <f ca="1">IF(AF9&gt;WEEKNUM(TODAY())," ", IF(AND(AF10="x",SUM($AC98:AF98)&gt;$AC96),J9-(SUM($AC98:AE98)/SUM($AC96:$BG96)),IF(SUM($AC98:AF98)&gt;=$AC96," ",J9-(SUM($AC98:AE98)/(SUM($AC96:$BG96))))))</f>
        <v xml:space="preserve"> </v>
      </c>
      <c r="AG99" s="48" t="str">
        <f ca="1">IF(AG9&gt;WEEKNUM(TODAY())," ", IF(AND(AG10="x",SUM($AC98:AG98)&gt;$AC96),K9-(SUM($AC98:AF98)/SUM($AC96:$BG96)),IF(SUM($AC98:AG98)&gt;=$AC96," ",K9-(SUM($AC98:AF98)/(SUM($AC96:$BG96))))))</f>
        <v xml:space="preserve"> </v>
      </c>
      <c r="AH99" s="48" t="str">
        <f ca="1">IF(AH9&gt;WEEKNUM(TODAY())," ", IF(AND(AH10="x",SUM($AC98:AH98)&gt;$AC96),L9-(SUM($AC98:AG98)/SUM($AC96:$BG96)),IF(SUM($AC98:AH98)&gt;=$AC96," ",L9-(SUM($AC98:AG98)/(SUM($AC96:$BG96))))))</f>
        <v xml:space="preserve"> </v>
      </c>
      <c r="AI99" s="48" t="str">
        <f ca="1">IF(AI9&gt;WEEKNUM(TODAY())," ", IF(AND(AI10="x",SUM($AC98:AI98)&gt;$AC96),M9-(SUM($AC98:AH98)/SUM($AC96:$BG96)),IF(SUM($AC98:AI98)&gt;=$AC96," ",M9-(SUM($AC98:AH98)/(SUM($AC96:$BG96))))))</f>
        <v xml:space="preserve"> </v>
      </c>
      <c r="AJ99" s="48" t="str">
        <f ca="1">IF(AJ9&gt;WEEKNUM(TODAY())," ", IF(AND(AJ10="x",SUM($AC98:AJ98)&gt;$AC96),N9-(SUM($AC98:AI98)/SUM($AC96:$BG96)),IF(SUM($AC98:AJ98)&gt;=$AC96," ",N9-(SUM($AC98:AI98)/(SUM($AC96:$BG96))))))</f>
        <v xml:space="preserve"> </v>
      </c>
      <c r="AK99" s="48" t="str">
        <f ca="1">IF(AK9&gt;WEEKNUM(TODAY())," ", IF(AND(AK10="x",SUM($AC98:AK98)&gt;$AC96),O9-(SUM($AC98:AJ98)/SUM($AC96:$BG96)),IF(SUM($AC98:AK98)&gt;=$AC96," ",O9-(SUM($AC98:AJ98)/(SUM($AC96:$BG96))))))</f>
        <v xml:space="preserve"> </v>
      </c>
      <c r="AL99" s="48" t="str">
        <f ca="1">IF(AL9&gt;WEEKNUM(TODAY())," ", IF(AND(AL10="x",SUM($AC98:AL98)&gt;$AC96),P9-(SUM($AC98:AK98)/SUM($AC96:$BG96)),IF(SUM($AC98:AL98)&gt;=$AC96," ",P9-(SUM($AC98:AK98)/(SUM($AC96:$BG96))))))</f>
        <v xml:space="preserve"> </v>
      </c>
      <c r="AM99" s="48" t="str">
        <f ca="1">IF(AM9&gt;WEEKNUM(TODAY())," ", IF(AND(AM10="x",SUM($AC98:AM98)&gt;$AC96),Q9-(SUM($AC98:AL98)/SUM($AC96:$BG96)),IF(SUM($AC98:AM98)&gt;=$AC96," ",Q9-(SUM($AC98:AL98)/(SUM($AC96:$BG96))))))</f>
        <v xml:space="preserve"> </v>
      </c>
      <c r="AN99" s="48" t="str">
        <f ca="1">IF(AN9&gt;WEEKNUM(TODAY())," ", IF(AND(AN10="x",SUM($AC98:AN98)&gt;$AC96),R9-(SUM($AC98:AM98)/SUM($AC96:$BG96)),IF(SUM($AC98:AN98)&gt;=$AC96," ",R9-(SUM($AC98:AM98)/(SUM($AC96:$BG96))))))</f>
        <v xml:space="preserve"> </v>
      </c>
      <c r="AO99" s="48" t="str">
        <f ca="1">IF(AO9&gt;WEEKNUM(TODAY())," ", IF(AND(AO10="x",SUM($AC98:AO98)&gt;$AC96),S9-(SUM($AC98:AN98)/SUM($AC96:$BG96)),IF(SUM($AC98:AO98)&gt;=$AC96," ",S9-(SUM($AC98:AN98)/(SUM($AC96:$BG96))))))</f>
        <v xml:space="preserve"> </v>
      </c>
      <c r="AP99" s="48" t="str">
        <f ca="1">IF(AP9&gt;WEEKNUM(TODAY())," ", IF(AND(AP10="x",SUM($AC98:AP98)&gt;$AC96),T9-(SUM($AC98:AO98)/SUM($AC96:$BG96)),IF(SUM($AC98:AP98)&gt;=$AC96," ",T9-(SUM($AC98:AO98)/(SUM($AC96:$BG96))))))</f>
        <v xml:space="preserve"> </v>
      </c>
      <c r="AQ99" s="48" t="str">
        <f ca="1">IF(AQ9&gt;WEEKNUM(TODAY())," ", IF(AND(AQ10="x",SUM($AC98:AQ98)&gt;$AC96),U9-(SUM($AC98:AP98)/SUM($AC96:$BG96)),IF(SUM($AC98:AQ98)&gt;=$AC96," ",U9-(SUM($AC98:AP98)/(SUM($AC96:$BG96))))))</f>
        <v xml:space="preserve"> </v>
      </c>
      <c r="AR99" s="48" t="str">
        <f ca="1">IF(AR9&gt;WEEKNUM(TODAY())," ", IF(AND(AR10="x",SUM($AC98:AR98)&gt;$AC96),V9-(SUM($AC98:AQ98)/SUM($AC96:$BG96)),IF(SUM($AC98:AR98)&gt;=$AC96," ",V9-(SUM($AC98:AQ98)/(SUM($AC96:$BG96))))))</f>
        <v xml:space="preserve"> </v>
      </c>
      <c r="AS99" s="48" t="str">
        <f ca="1">IF(AS9&gt;WEEKNUM(TODAY())," ", IF(AND(AS10="x",SUM($AC98:AS98)&gt;$AC96),W9-(SUM($AC98:AR98)/SUM($AC96:$BG96)),IF(SUM($AC98:AS98)&gt;=$AC96," ",W9-(SUM($AC98:AR98)/(SUM($AC96:$BG96))))))</f>
        <v xml:space="preserve"> </v>
      </c>
      <c r="AT99" s="48" t="str">
        <f ca="1">IF(AT9&gt;WEEKNUM(TODAY())," ", IF(AND(AT10="x",SUM($AC98:AT98)&gt;$AC96),X9-(SUM($AC98:AS98)/SUM($AC96:$BG96)),IF(SUM($AC98:AT98)&gt;=$AC96," ",X9-(SUM($AC98:AS98)/(SUM($AC96:$BG96))))))</f>
        <v xml:space="preserve"> </v>
      </c>
      <c r="AU99" s="48" t="str">
        <f ca="1">IF(AU9&gt;WEEKNUM(TODAY())," ", IF(AND(AU10="x",SUM($AC98:AU98)&gt;$AC96),Y9-(SUM($AC98:AT98)/SUM($AC96:$BG96)),IF(SUM($AC98:AU98)&gt;=$AC96," ",Y9-(SUM($AC98:AT98)/(SUM($AC96:$BG96))))))</f>
        <v xml:space="preserve"> </v>
      </c>
      <c r="AV99" s="48" t="str">
        <f ca="1">IF(AV9&gt;WEEKNUM(TODAY())," ", IF(AND(AV10="x",SUM($AC98:AV98)&gt;$AC96),Z9-(SUM($AC98:AU98)/SUM($AC96:$BG96)),IF(SUM($AC98:AV98)&gt;=$AC96," ",Z9-(SUM($AC98:AU98)/(SUM($AC96:$BG96))))))</f>
        <v xml:space="preserve"> </v>
      </c>
      <c r="AW99" s="48" t="str">
        <f ca="1">IF(AW9&gt;WEEKNUM(TODAY())," ", IF(AND(AW10="x",SUM($AC98:AW98)&gt;$AC96),AA9-(SUM($AC98:AV98)/SUM($AC96:$BG96)),IF(SUM($AC98:AW98)&gt;=$AC96," ",AA9-(SUM($AC98:AV98)/(SUM($AC96:$BG96))))))</f>
        <v xml:space="preserve"> </v>
      </c>
      <c r="AX99" s="48" t="str">
        <f ca="1">IF(AX9&gt;WEEKNUM(TODAY())," ", IF(AND(AX10="x",SUM($AC98:AX98)&gt;$AC96),AB9-(SUM($AC98:AW98)/SUM($AC96:$BG96)),IF(SUM($AC98:AX98)&gt;=$AC96," ",AB9-(SUM($AC98:AW98)/(SUM($AC96:$BG96))))))</f>
        <v xml:space="preserve"> </v>
      </c>
      <c r="AY99" s="48" t="str">
        <f ca="1">IF(AY9&gt;WEEKNUM(TODAY())," ", IF(AND(AY10="x",SUM($AC98:AY98)&gt;$AC96),AC9-(SUM($AC98:AX98)/SUM($AC96:$BG96)),IF(SUM($AC98:AY98)&gt;=$AC96," ",AC9-(SUM($AC98:AX98)/(SUM($AC96:$BG96))))))</f>
        <v xml:space="preserve"> </v>
      </c>
      <c r="AZ99" s="48" t="str">
        <f ca="1">IF(AZ9&gt;WEEKNUM(TODAY())," ", IF(AND(AZ10="x",SUM($AC98:AZ98)&gt;$AC96),AD9-(SUM($AC98:AY98)/SUM($AC96:$BG96)),IF(SUM($AC98:AZ98)&gt;=$AC96," ",AD9-(SUM($AC98:AY98)/(SUM($AC96:$BG96))))))</f>
        <v xml:space="preserve"> </v>
      </c>
      <c r="BA99" s="48" t="str">
        <f ca="1">IF(BA9&gt;WEEKNUM(TODAY())," ", IF(AND(BA10="x",SUM($AC98:BA98)&gt;$AC96),AE9-(SUM($AC98:AZ98)/SUM($AC96:$BG96)),IF(SUM($AC98:BA98)&gt;=$AC96," ",AE9-(SUM($AC98:AZ98)/(SUM($AC96:$BG96))))))</f>
        <v xml:space="preserve"> </v>
      </c>
      <c r="BB99" s="48" t="str">
        <f ca="1">IF(BB9&gt;WEEKNUM(TODAY())," ", IF(AND(BB10="x",SUM($AC98:BB98)&gt;$AC96),AF9-(SUM($AC98:BA98)/SUM($AC96:$BG96)),IF(SUM($AC98:BB98)&gt;=$AC96," ",AF9-(SUM($AC98:BA98)/(SUM($AC96:$BG96))))))</f>
        <v xml:space="preserve"> </v>
      </c>
      <c r="BC99" s="48" t="str">
        <f ca="1">IF(BC9&gt;WEEKNUM(TODAY())," ", IF(AND(BC10="x",SUM($AC98:BC98)&gt;$AC96),AG9-(SUM($AC98:BB98)/SUM($AC96:$BG96)),IF(SUM($AC98:BC98)&gt;=$AC96," ",AG9-(SUM($AC98:BB98)/(SUM($AC96:$BG96))))))</f>
        <v xml:space="preserve"> </v>
      </c>
      <c r="BD99" s="48" t="str">
        <f ca="1">IF(BD9&gt;WEEKNUM(TODAY())," ", IF(AND(BD10="x",SUM($AC98:BD98)&gt;$AC96),AH9-(SUM($AC98:BC98)/SUM($AC96:$BG96)),IF(SUM($AC98:BD98)&gt;=$AC96," ",AH9-(SUM($AC98:BC98)/(SUM($AC96:$BG96))))))</f>
        <v xml:space="preserve"> </v>
      </c>
      <c r="BE99" s="48" t="str">
        <f ca="1">IF(BE9&gt;WEEKNUM(TODAY())," ", IF(AND(BE10="x",SUM($AC98:BE98)&gt;$AC96),AI9-(SUM($AC98:BD98)/SUM($AC96:$BG96)),IF(SUM($AC98:BE98)&gt;=$AC96," ",AI9-(SUM($AC98:BD98)/(SUM($AC96:$BG96))))))</f>
        <v xml:space="preserve"> </v>
      </c>
      <c r="BF99" s="48" t="str">
        <f ca="1">IF(BF9&gt;WEEKNUM(TODAY())," ", IF(AND(BF10="x",SUM($AC98:BF98)&gt;$AC96),AJ9-(SUM($AC98:BE98)/SUM($AC96:$BG96)),IF(SUM($AC98:BF98)&gt;=$AC96," ",AJ9-(SUM($AC98:BE98)/(SUM($AC96:$BG96))))))</f>
        <v xml:space="preserve"> </v>
      </c>
      <c r="BG99" s="48" t="str">
        <f ca="1">IF(BG9&gt;WEEKNUM(TODAY())," ", IF(AND(BG10="x",SUM($AC98:BG98)&gt;$AC96),AK9-(SUM($AC98:BF98)/SUM($AC96:$BG96)),IF(SUM($AC98:BG98)&gt;=$AC96," ",AK9-(SUM($AC98:BF98)/(SUM($AC96:$BG96))))))</f>
        <v xml:space="preserve"> </v>
      </c>
      <c r="BH99" s="21"/>
    </row>
    <row r="100" spans="2:60" ht="16.2" thickBot="1" x14ac:dyDescent="0.35">
      <c r="B100" s="70"/>
      <c r="C100" s="79"/>
      <c r="D100" s="84"/>
      <c r="E100" s="57"/>
      <c r="F100" s="117"/>
      <c r="H100" s="49" t="str">
        <f>IF(H96= " ", " ",IF(H98&gt;SUM($H96:$BG96), " N/A", IF(SUM($H98:$BG98)=SUM($H96:BG96), " ", IF(H98=SUM($H96:BG96), " ", "x"))))</f>
        <v xml:space="preserve"> </v>
      </c>
      <c r="I100" s="50" t="str">
        <f>IF(SUM($H98:I98) &gt; SUM($H96:I96),  " N/A", IF(SUM($H98:$BG98) = SUM($H96:$BH96),    " ",IF(I98 = SUM($H96:$BH96),  " ",   "x")))</f>
        <v xml:space="preserve"> </v>
      </c>
      <c r="J100" s="50" t="str">
        <f>IF(SUM($H98:J98) &gt; SUM($H96:J96),  " N/A", IF(SUM($H98:$BG98) = SUM($H96:$BH96),    " ",IF(J98 = SUM($H96:$BH96),  " ",   "x")))</f>
        <v xml:space="preserve"> </v>
      </c>
      <c r="K100" s="50" t="str">
        <f>IF(SUM($H98:K98) &gt; SUM($H96:K96),  " N/A", IF(SUM($H98:$BG98) = SUM($H96:$BH96),    " ",IF(K98 = SUM($H96:$BH96),  " ",   "x")))</f>
        <v xml:space="preserve"> </v>
      </c>
      <c r="L100" s="50" t="str">
        <f>IF(SUM($H98:L98) &gt; SUM($H96:L96),  " N/A", IF(SUM($H98:$BG98) = SUM($H96:$BH96),    " ",IF(L98 = SUM($H96:$BH96),  " ",   "x")))</f>
        <v xml:space="preserve"> </v>
      </c>
      <c r="M100" s="50" t="str">
        <f>IF(SUM($H98:M98) &gt; SUM($H96:M96),  " N/A", IF(SUM($H98:$BG98) = SUM($H96:$BH96),    " ",IF(M98 = SUM($H96:$BH96),  " ",   "x")))</f>
        <v xml:space="preserve"> </v>
      </c>
      <c r="N100" s="50" t="str">
        <f>IF(SUM($H98:N98) &gt; SUM($H96:N96),  " N/A", IF(SUM($H98:$BG98) = SUM($H96:$BH96),    " ",IF(N98 = SUM($H96:$BH96),  " ",   "x")))</f>
        <v xml:space="preserve"> </v>
      </c>
      <c r="O100" s="50" t="str">
        <f>IF(SUM($H98:O98) &gt; SUM($H96:O96),  " N/A", IF(SUM($H98:$BG98) = SUM($H96:$BH96),    " ",IF(O98 = SUM($H96:$BH96),  " ",   "x")))</f>
        <v xml:space="preserve"> </v>
      </c>
      <c r="P100" s="50" t="str">
        <f>IF(SUM($H98:P98) &gt; SUM($H96:P96),  " N/A", IF(SUM($H98:$BG98) = SUM($H96:$BH96),    " ",IF(P98 = SUM($H96:$BH96),  " ",   "x")))</f>
        <v xml:space="preserve"> </v>
      </c>
      <c r="Q100" s="50" t="str">
        <f>IF(SUM($H98:Q98) &gt; SUM($H96:Q96),  " N/A", IF(SUM($H98:$BG98) = SUM($H96:$BH96),    " ",IF(Q98 = SUM($H96:$BH96),  " ",   "x")))</f>
        <v xml:space="preserve"> </v>
      </c>
      <c r="R100" s="50" t="str">
        <f>IF(SUM($H98:R98) &gt; SUM($H96:R96),  " N/A", IF(SUM($H98:$BG98) = SUM($H96:$BH96),    " ",IF(R98 = SUM($H96:$BH96),  " ",   "x")))</f>
        <v xml:space="preserve"> </v>
      </c>
      <c r="S100" s="50" t="str">
        <f>IF(SUM($H98:S98) &gt; SUM($H96:S96),  " N/A", IF(SUM($H98:$BG98) = SUM($H96:$BH96),    " ",IF(S98 = SUM($H96:$BH96),  " ",   "x")))</f>
        <v xml:space="preserve"> </v>
      </c>
      <c r="T100" s="50" t="str">
        <f>IF(SUM($H98:T98) &gt; SUM($H96:T96),  " N/A", IF(SUM($H98:$BG98) = SUM($H96:$BH96),    " ",IF(T98 = SUM($H96:$BH96),  " ",   "x")))</f>
        <v xml:space="preserve"> </v>
      </c>
      <c r="U100" s="50" t="str">
        <f>IF(SUM($H98:U98) &gt; SUM($H96:U96),  " N/A", IF(SUM($H98:$BG98) = SUM($H96:$BH96),    " ",IF(U98 = SUM($H96:$BH96),  " ",   "x")))</f>
        <v xml:space="preserve"> </v>
      </c>
      <c r="V100" s="50" t="str">
        <f>IF(SUM($H98:V98) &gt; SUM($H96:V96),  " N/A", IF(SUM($H98:$BG98) = SUM($H96:$BH96),    " ",IF(V98 = SUM($H96:$BH96),  " ",   "x")))</f>
        <v xml:space="preserve"> </v>
      </c>
      <c r="W100" s="50" t="str">
        <f>IF(SUM($H98:W98) &gt; SUM($H96:W96),  " N/A", IF(SUM($H98:$BG98) = SUM($H96:$BH96),    " ",IF(W98 = SUM($H96:$BH96),  " ",   "x")))</f>
        <v xml:space="preserve"> </v>
      </c>
      <c r="X100" s="50" t="str">
        <f>IF(SUM($H98:X98) &gt; SUM($H96:X96),  " N/A", IF(SUM($H98:$BG98) = SUM($H96:$BH96),    " ",IF(X98 = SUM($H96:$BH96),  " ",   "x")))</f>
        <v xml:space="preserve"> </v>
      </c>
      <c r="Y100" s="50" t="str">
        <f>IF(SUM($H98:Y98) &gt; SUM($H96:Y96),  " N/A", IF(SUM($H98:$BG98) = SUM($H96:$BH96),    " ",IF(Y98 = SUM($H96:$BH96),  " ",   "x")))</f>
        <v xml:space="preserve"> </v>
      </c>
      <c r="Z100" s="50" t="str">
        <f>IF(SUM($H98:Z98) &gt; SUM($H96:Z96),  " N/A", IF(SUM($H98:$BG98) = SUM($H96:$BH96),    " ",IF(Z98 = SUM($H96:$BH96),  " ",   "x")))</f>
        <v xml:space="preserve"> </v>
      </c>
      <c r="AA100" s="50" t="str">
        <f>IF(SUM($H98:AA98) &gt; SUM($H96:AA96),  " N/A", IF(SUM($H98:$BG98) = SUM($H96:$BH96),    " ",IF(AA98 = SUM($H96:$BH96),  " ",   "x")))</f>
        <v xml:space="preserve"> </v>
      </c>
      <c r="AB100" s="50" t="str">
        <f>IF(SUM($H98:AB98) &gt; SUM($H96:AB96),  " N/A", IF(SUM($H98:$BG98) = SUM($H96:$BH96),    " ",IF(AB98 = SUM($H96:$BH96),  " ",   "x")))</f>
        <v xml:space="preserve"> </v>
      </c>
      <c r="AC100" s="50" t="str">
        <f>IF(SUM($H98:AC98) &gt; SUM($H96:AC96),  " N/A", IF(SUM($H98:$BG98) = SUM($H96:$BH96),    " ",IF(AC98 = SUM($H96:$BH96),  " ",   "x")))</f>
        <v xml:space="preserve"> </v>
      </c>
      <c r="AD100" s="50" t="str">
        <f>IF(SUM($H98:AD98) &gt; SUM($H96:AD96),  " N/A", IF(SUM($H98:$BG98) = SUM($H96:$BH96),    " ",IF(AD98 = SUM($H96:$BH96),  " ",   "x")))</f>
        <v xml:space="preserve"> </v>
      </c>
      <c r="AE100" s="50" t="str">
        <f>IF(SUM($H98:AE98) &gt; SUM($H96:AE96),  " N/A", IF(SUM($H98:$BG98) = SUM($H96:$BH96),    " ",IF(AE98 = SUM($H96:$BH96),  " ",   "x")))</f>
        <v xml:space="preserve"> </v>
      </c>
      <c r="AF100" s="50" t="str">
        <f>IF(SUM($H98:AF98) &gt; SUM($H96:AF96),  " N/A", IF(SUM($H98:$BG98) = SUM($H96:$BH96),    " ",IF(AF98 = SUM($H96:$BH96),  " ",   "x")))</f>
        <v xml:space="preserve"> </v>
      </c>
      <c r="AG100" s="50" t="str">
        <f>IF(SUM($H98:AG98) &gt; SUM($H96:AG96),  " N/A", IF(SUM($H98:$BG98) = SUM($H96:$BH96),    " ",IF(AG98 = SUM($H96:$BH96),  " ",   "x")))</f>
        <v xml:space="preserve"> </v>
      </c>
      <c r="AH100" s="50" t="str">
        <f>IF(SUM($H98:AH98) &gt; SUM($H96:AH96),  " N/A", IF(SUM($H98:$BG98) = SUM($H96:$BH96),    " ",IF(AH98 = SUM($H96:$BH96),  " ",   "x")))</f>
        <v xml:space="preserve"> </v>
      </c>
      <c r="AI100" s="50" t="str">
        <f>IF(SUM($H98:AI98) &gt; SUM($H96:AI96),  " N/A", IF(SUM($H98:$BG98) = SUM($H96:$BH96),    " ",IF(AI98 = SUM($H96:$BH96),  " ",   "x")))</f>
        <v xml:space="preserve"> </v>
      </c>
      <c r="AJ100" s="50" t="str">
        <f>IF(SUM($H98:AJ98) &gt; SUM($H96:AJ96),  " N/A", IF(SUM($H98:$BG98) = SUM($H96:$BH96),    " ",IF(AJ98 = SUM($H96:$BH96),  " ",   "x")))</f>
        <v xml:space="preserve"> </v>
      </c>
      <c r="AK100" s="50" t="str">
        <f>IF(SUM($H98:AK98) &gt; SUM($H96:AK96),  " N/A", IF(SUM($H98:$BG98) = SUM($H96:$BH96),    " ",IF(AK98 = SUM($H96:$BH96),  " ",   "x")))</f>
        <v xml:space="preserve"> </v>
      </c>
      <c r="AL100" s="50" t="str">
        <f>IF(SUM($H98:AL98) &gt; SUM($H96:AL96),  " N/A", IF(SUM($H98:$BG98) = SUM($H96:$BH96),    " ",IF(AL98 = SUM($H96:$BH96),  " ",   "x")))</f>
        <v xml:space="preserve"> </v>
      </c>
      <c r="AM100" s="50" t="str">
        <f>IF(SUM($H98:AM98) &gt; SUM($H96:AM96),  " N/A", IF(SUM($H98:$BG98) = SUM($H96:$BH96),    " ",IF(AM98 = SUM($H96:$BH96),  " ",   "x")))</f>
        <v xml:space="preserve"> </v>
      </c>
      <c r="AN100" s="50" t="str">
        <f>IF(SUM($H98:AN98) &gt; SUM($H96:AN96),  " N/A", IF(SUM($H98:$BG98) = SUM($H96:$BH96),    " ",IF(AN98 = SUM($H96:$BH96),  " ",   "x")))</f>
        <v xml:space="preserve"> </v>
      </c>
      <c r="AO100" s="50" t="str">
        <f>IF(SUM($H98:AO98) &gt; SUM($H96:AO96),  " N/A", IF(SUM($H98:$BG98) = SUM($H96:$BH96),    " ",IF(AO98 = SUM($H96:$BH96),  " ",   "x")))</f>
        <v xml:space="preserve"> </v>
      </c>
      <c r="AP100" s="50" t="str">
        <f>IF(SUM($H98:AP98) &gt; SUM($H96:AP96),  " N/A", IF(SUM($H98:$BG98) = SUM($H96:$BH96),    " ",IF(AP98 = SUM($H96:$BH96),  " ",   "x")))</f>
        <v xml:space="preserve"> </v>
      </c>
      <c r="AQ100" s="50" t="str">
        <f>IF(SUM($H98:AQ98) &gt; SUM($H96:AQ96),  " N/A", IF(SUM($H98:$BG98) = SUM($H96:$BH96),    " ",IF(AQ98 = SUM($H96:$BH96),  " ",   "x")))</f>
        <v xml:space="preserve"> </v>
      </c>
      <c r="AR100" s="50" t="str">
        <f>IF(SUM($H98:AR98) &gt; SUM($H96:AR96),  " N/A", IF(SUM($H98:$BG98) = SUM($H96:$BH96),    " ",IF(AR98 = SUM($H96:$BH96),  " ",   "x")))</f>
        <v xml:space="preserve"> </v>
      </c>
      <c r="AS100" s="50" t="str">
        <f>IF(SUM($H98:AS98) &gt; SUM($H96:AS96),  " N/A", IF(SUM($H98:$BG98) = SUM($H96:$BH96),    " ",IF(AS98 = SUM($H96:$BH96),  " ",   "x")))</f>
        <v xml:space="preserve"> </v>
      </c>
      <c r="AT100" s="50" t="str">
        <f>IF(SUM($H98:AT98) &gt; SUM($H96:AT96),  " N/A", IF(SUM($H98:$BG98) = SUM($H96:$BH96),    " ",IF(AT98 = SUM($H96:$BH96),  " ",   "x")))</f>
        <v xml:space="preserve"> </v>
      </c>
      <c r="AU100" s="50" t="str">
        <f>IF(SUM($H98:AU98) &gt; SUM($H96:AU96),  " N/A", IF(SUM($H98:$BG98) = SUM($H96:$BH96),    " ",IF(AU98 = SUM($H96:$BH96),  " ",   "x")))</f>
        <v xml:space="preserve"> </v>
      </c>
      <c r="AV100" s="50" t="str">
        <f>IF(SUM($H98:AV98) &gt; SUM($H96:AV96),  " N/A", IF(SUM($H98:$BG98) = SUM($H96:$BH96),    " ",IF(AV98 = SUM($H96:$BH96),  " ",   "x")))</f>
        <v xml:space="preserve"> </v>
      </c>
      <c r="AW100" s="50" t="str">
        <f>IF(SUM($H98:AW98) &gt; SUM($H96:AW96),  " N/A", IF(SUM($H98:$BG98) = SUM($H96:$BH96),    " ",IF(AW98 = SUM($H96:$BH96),  " ",   "x")))</f>
        <v xml:space="preserve"> </v>
      </c>
      <c r="AX100" s="50" t="str">
        <f>IF(SUM($H98:AX98) &gt; SUM($H96:AX96),  " N/A", IF(SUM($H98:$BG98) = SUM($H96:$BH96),    " ",IF(AX98 = SUM($H96:$BH96),  " ",   "x")))</f>
        <v xml:space="preserve"> </v>
      </c>
      <c r="AY100" s="50" t="str">
        <f>IF(SUM($H98:AY98) &gt; SUM($H96:AY96),  " N/A", IF(SUM($H98:$BG98) = SUM($H96:$BH96),    " ",IF(AY98 = SUM($H96:$BH96),  " ",   "x")))</f>
        <v xml:space="preserve"> </v>
      </c>
      <c r="AZ100" s="50" t="str">
        <f>IF(SUM($H98:AZ98) &gt; SUM($H96:AZ96),  " N/A", IF(SUM($H98:$BG98) = SUM($H96:$BH96),    " ",IF(AZ98 = SUM($H96:$BH96),  " ",   "x")))</f>
        <v xml:space="preserve"> </v>
      </c>
      <c r="BA100" s="50" t="str">
        <f>IF(SUM($H98:BA98) &gt; SUM($H96:BA96),  " N/A", IF(SUM($H98:$BG98) = SUM($H96:$BH96),    " ",IF(BA98 = SUM($H96:$BH96),  " ",   "x")))</f>
        <v xml:space="preserve"> </v>
      </c>
      <c r="BB100" s="50" t="str">
        <f>IF(SUM($H98:BB98) &gt; SUM($H96:BB96),  " N/A", IF(SUM($H98:$BG98) = SUM($H96:$BH96),    " ",IF(BB98 = SUM($H96:$BH96),  " ",   "x")))</f>
        <v xml:space="preserve"> </v>
      </c>
      <c r="BC100" s="50" t="str">
        <f>IF(SUM($H98:BC98) &gt; SUM($H96:BC96),  " N/A", IF(SUM($H98:$BG98) = SUM($H96:$BH96),    " ",IF(BC98 = SUM($H96:$BH96),  " ",   "x")))</f>
        <v xml:space="preserve"> </v>
      </c>
      <c r="BD100" s="50" t="str">
        <f>IF(SUM($H98:BD98) &gt; SUM($H96:BD96),  " N/A", IF(SUM($H98:$BG98) = SUM($H96:$BH96),    " ",IF(BD98 = SUM($H96:$BH96),  " ",   "x")))</f>
        <v xml:space="preserve"> </v>
      </c>
      <c r="BE100" s="50" t="str">
        <f>IF(SUM($H98:BE98) &gt; SUM($H96:BE96),  " N/A", IF(SUM($H98:$BG98) = SUM($H96:$BH96),    " ",IF(BE98 = SUM($H96:$BH96),  " ",   "x")))</f>
        <v xml:space="preserve"> </v>
      </c>
      <c r="BF100" s="50" t="str">
        <f>IF(SUM($H98:BF98) &gt; SUM($H96:BF96),  " N/A", IF(SUM($H98:$BG98) = SUM($H96:$BH96),    " ",IF(BF98 = SUM($H96:$BH96),  " ",   "x")))</f>
        <v xml:space="preserve"> </v>
      </c>
      <c r="BG100" s="50" t="str">
        <f>IF(SUM($H98:BG98) &gt; SUM($H96:BG96),  " N/A", IF(SUM($H98:$BG98) = SUM($H96:$BH96),    " ",IF(BG98 = SUM($H96:$BH96),  " ",   "x")))</f>
        <v xml:space="preserve"> </v>
      </c>
      <c r="BH100" s="21"/>
    </row>
    <row r="101" spans="2:60" ht="15.6" x14ac:dyDescent="0.3">
      <c r="B101" s="71"/>
      <c r="C101" s="77"/>
      <c r="D101" s="82" t="s">
        <v>249</v>
      </c>
      <c r="E101" s="54">
        <f>SUM(H101:BG101)</f>
        <v>41</v>
      </c>
      <c r="F101" s="115">
        <f>Gant_24!$E101-E103</f>
        <v>0</v>
      </c>
      <c r="H101" s="41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>
        <v>41</v>
      </c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42"/>
      <c r="BB101" s="42"/>
      <c r="BC101" s="42"/>
      <c r="BD101" s="42"/>
      <c r="BE101" s="42"/>
      <c r="BF101" s="42"/>
      <c r="BG101" s="42"/>
      <c r="BH101" s="21"/>
    </row>
    <row r="102" spans="2:60" ht="15.6" x14ac:dyDescent="0.3">
      <c r="B102" s="68"/>
      <c r="C102" s="78"/>
      <c r="D102" s="83" t="s">
        <v>261</v>
      </c>
      <c r="E102" s="55">
        <f>SUM(H102:BG102)</f>
        <v>0</v>
      </c>
      <c r="F102" s="116"/>
      <c r="H102" s="43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  <c r="AW102" s="44"/>
      <c r="AX102" s="44"/>
      <c r="AY102" s="44"/>
      <c r="AZ102" s="44"/>
      <c r="BA102" s="44"/>
      <c r="BB102" s="44"/>
      <c r="BC102" s="44"/>
      <c r="BD102" s="44"/>
      <c r="BE102" s="44"/>
      <c r="BF102" s="44"/>
      <c r="BG102" s="44"/>
      <c r="BH102" s="21"/>
    </row>
    <row r="103" spans="2:60" ht="15.6" x14ac:dyDescent="0.3">
      <c r="B103" s="68" t="s">
        <v>105</v>
      </c>
      <c r="C103" s="78" t="s">
        <v>106</v>
      </c>
      <c r="D103" s="83" t="s">
        <v>241</v>
      </c>
      <c r="E103" s="55">
        <f>SUM(H103:BG103)</f>
        <v>41</v>
      </c>
      <c r="F103" s="116"/>
      <c r="H103" s="45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>
        <v>41</v>
      </c>
      <c r="AH103" s="46"/>
      <c r="AI103" s="46"/>
      <c r="AJ103" s="46"/>
      <c r="AK103" s="46"/>
      <c r="AL103" s="46"/>
      <c r="AM103" s="46"/>
      <c r="AN103" s="46"/>
      <c r="AO103" s="46"/>
      <c r="AP103" s="46"/>
      <c r="AQ103" s="46"/>
      <c r="AR103" s="46"/>
      <c r="AS103" s="46"/>
      <c r="AT103" s="46"/>
      <c r="AU103" s="46"/>
      <c r="AV103" s="46"/>
      <c r="AW103" s="46"/>
      <c r="AX103" s="46"/>
      <c r="AY103" s="46"/>
      <c r="AZ103" s="46"/>
      <c r="BA103" s="46"/>
      <c r="BB103" s="46"/>
      <c r="BC103" s="46"/>
      <c r="BD103" s="46"/>
      <c r="BE103" s="46"/>
      <c r="BF103" s="46"/>
      <c r="BG103" s="46"/>
      <c r="BH103" s="21"/>
    </row>
    <row r="104" spans="2:60" ht="15.6" x14ac:dyDescent="0.3">
      <c r="B104" s="68"/>
      <c r="C104" s="78"/>
      <c r="D104" s="83" t="s">
        <v>278</v>
      </c>
      <c r="E104" s="56">
        <f ca="1">MAX(H104:BG104)</f>
        <v>0</v>
      </c>
      <c r="F104" s="116"/>
      <c r="H104" s="47"/>
      <c r="I104" s="48"/>
      <c r="J104" s="48"/>
      <c r="K104" s="48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 t="str">
        <f>IF(SUM(H101:BG101) = AD103, " 0 ", " ")</f>
        <v xml:space="preserve"> </v>
      </c>
      <c r="AE104" s="44" t="str">
        <f ca="1">IF(AE9&gt;WEEKNUM(TODAY())," ", IF(AND(AE10="x",SUM($AD103:AE103)&gt;$AD101),H9-(SUM($AD103:AE103)/SUM($AD101:$BG101)),IF(SUM($AD103:AE103)&gt;=$AD101," ",H9-(SUM($AD103:AE103)/(SUM($AD101:$BG101))))))</f>
        <v xml:space="preserve"> </v>
      </c>
      <c r="AF104" s="44" t="str">
        <f ca="1">IF(AF9&gt;WEEKNUM(TODAY())," ", IF(AND(AF10="x",SUM($AD103:AF103)&gt;$AD101),I9-(SUM($AD103:AF103)/SUM($AD101:$BG101)),IF(SUM($AD103:AF103)&gt;=$AD101," ",I9-(SUM($AD103:AF103)/(SUM($AD101:$BG101))))))</f>
        <v xml:space="preserve"> </v>
      </c>
      <c r="AG104" s="44" t="str">
        <f ca="1">IF(AG9&gt;WEEKNUM(TODAY())," ", IF(AND(AG10="x",SUM($AD103:AG103)&gt;$AD101),J9-(SUM($AD103:AG103)/SUM($AD101:$BG101)),IF(SUM($AD103:AG103)&gt;=$AD101," ",J9-(SUM($AD103:AG103)/(SUM($AD101:$BG101))))))</f>
        <v xml:space="preserve"> </v>
      </c>
      <c r="AH104" s="44" t="str">
        <f ca="1">IF(AH9&gt;WEEKNUM(TODAY())," ", IF(AND(AH10="x",SUM($AD103:AH103)&gt;$AD101),K9-(SUM($AD103:AH103)/SUM($AD101:$BG101)),IF(SUM($AD103:AH103)&gt;=$AD101," ",K9-(SUM($AD103:AH103)/(SUM($AD101:$BG101))))))</f>
        <v xml:space="preserve"> </v>
      </c>
      <c r="AI104" s="44" t="str">
        <f ca="1">IF(AI9&gt;WEEKNUM(TODAY())," ", IF(AND(AI10="x",SUM($AD103:AI103)&gt;$AD101),L9-(SUM($AD103:AI103)/SUM($AD101:$BG101)),IF(SUM($AD103:AI103)&gt;=$AD101," ",L9-(SUM($AD103:AI103)/(SUM($AD101:$BG101))))))</f>
        <v xml:space="preserve"> </v>
      </c>
      <c r="AJ104" s="44" t="str">
        <f ca="1">IF(AJ9&gt;WEEKNUM(TODAY())," ", IF(AND(AJ10="x",SUM($AD103:AJ103)&gt;$AD101),M9-(SUM($AD103:AJ103)/SUM($AD101:$BG101)),IF(SUM($AD103:AJ103)&gt;=$AD101," ",M9-(SUM($AD103:AJ103)/(SUM($AD101:$BG101))))))</f>
        <v xml:space="preserve"> </v>
      </c>
      <c r="AK104" s="44" t="str">
        <f ca="1">IF(AK9&gt;WEEKNUM(TODAY())," ", IF(AND(AK10="x",SUM($AD103:AK103)&gt;$AD101),N9-(SUM($AD103:AK103)/SUM($AD101:$BG101)),IF(SUM($AD103:AK103)&gt;=$AD101," ",N9-(SUM($AD103:AK103)/(SUM($AD101:$BG101))))))</f>
        <v xml:space="preserve"> </v>
      </c>
      <c r="AL104" s="44" t="str">
        <f ca="1">IF(AL9&gt;WEEKNUM(TODAY())," ", IF(AND(AL10="x",SUM($AD103:AL103)&gt;$AD101),O9-(SUM($AD103:AL103)/SUM($AD101:$BG101)),IF(SUM($AD103:AL103)&gt;=$AD101," ",O9-(SUM($AD103:AL103)/(SUM($AD101:$BG101))))))</f>
        <v xml:space="preserve"> </v>
      </c>
      <c r="AM104" s="44" t="str">
        <f ca="1">IF(AM9&gt;WEEKNUM(TODAY())," ", IF(AND(AM10="x",SUM($AD103:AM103)&gt;$AD101),P9-(SUM($AD103:AM103)/SUM($AD101:$BG101)),IF(SUM($AD103:AM103)&gt;=$AD101," ",P9-(SUM($AD103:AM103)/(SUM($AD101:$BG101))))))</f>
        <v xml:space="preserve"> </v>
      </c>
      <c r="AN104" s="44" t="str">
        <f ca="1">IF(AN9&gt;WEEKNUM(TODAY())," ", IF(AND(AN10="x",SUM($AD103:AN103)&gt;$AD101),Q9-(SUM($AD103:AN103)/SUM($AD101:$BG101)),IF(SUM($AD103:AN103)&gt;=$AD101," ",Q9-(SUM($AD103:AN103)/(SUM($AD101:$BG101))))))</f>
        <v xml:space="preserve"> </v>
      </c>
      <c r="AO104" s="44" t="str">
        <f ca="1">IF(AO9&gt;WEEKNUM(TODAY())," ", IF(AND(AO10="x",SUM($AD103:AO103)&gt;$AD101),R9-(SUM($AD103:AO103)/SUM($AD101:$BG101)),IF(SUM($AD103:AO103)&gt;=$AD101," ",R9-(SUM($AD103:AO103)/(SUM($AD101:$BG101))))))</f>
        <v xml:space="preserve"> </v>
      </c>
      <c r="AP104" s="44" t="str">
        <f ca="1">IF(AP9&gt;WEEKNUM(TODAY())," ", IF(AND(AP10="x",SUM($AD103:AP103)&gt;$AD101),S9-(SUM($AD103:AP103)/SUM($AD101:$BG101)),IF(SUM($AD103:AP103)&gt;=$AD101," ",S9-(SUM($AD103:AP103)/(SUM($AD101:$BG101))))))</f>
        <v xml:space="preserve"> </v>
      </c>
      <c r="AQ104" s="44" t="str">
        <f ca="1">IF(AQ9&gt;WEEKNUM(TODAY())," ", IF(AND(AQ10="x",SUM($AD103:AQ103)&gt;$AD101),T9-(SUM($AD103:AQ103)/SUM($AD101:$BG101)),IF(SUM($AD103:AQ103)&gt;=$AD101," ",T9-(SUM($AD103:AQ103)/(SUM($AD101:$BG101))))))</f>
        <v xml:space="preserve"> </v>
      </c>
      <c r="AR104" s="44" t="str">
        <f ca="1">IF(AR9&gt;WEEKNUM(TODAY())," ", IF(AND(AR10="x",SUM($AD103:AR103)&gt;$AD101),U9-(SUM($AD103:AR103)/SUM($AD101:$BG101)),IF(SUM($AD103:AR103)&gt;=$AD101," ",U9-(SUM($AD103:AR103)/(SUM($AD101:$BG101))))))</f>
        <v xml:space="preserve"> </v>
      </c>
      <c r="AS104" s="44" t="str">
        <f ca="1">IF(AS9&gt;WEEKNUM(TODAY())," ", IF(AND(AS10="x",SUM($AD103:AS103)&gt;$AD101),V9-(SUM($AD103:AS103)/SUM($AD101:$BG101)),IF(SUM($AD103:AS103)&gt;=$AD101," ",V9-(SUM($AD103:AS103)/(SUM($AD101:$BG101))))))</f>
        <v xml:space="preserve"> </v>
      </c>
      <c r="AT104" s="44" t="str">
        <f ca="1">IF(AT9&gt;WEEKNUM(TODAY())," ", IF(AND(AT10="x",SUM($AD103:AT103)&gt;$AD101),W9-(SUM($AD103:AT103)/SUM($AD101:$BG101)),IF(SUM($AD103:AT103)&gt;=$AD101," ",W9-(SUM($AD103:AT103)/(SUM($AD101:$BG101))))))</f>
        <v xml:space="preserve"> </v>
      </c>
      <c r="AU104" s="44" t="str">
        <f ca="1">IF(AU9&gt;WEEKNUM(TODAY())," ", IF(AND(AU10="x",SUM($AD103:AU103)&gt;$AD101),X9-(SUM($AD103:AU103)/SUM($AD101:$BG101)),IF(SUM($AD103:AU103)&gt;=$AD101," ",X9-(SUM($AD103:AU103)/(SUM($AD101:$BG101))))))</f>
        <v xml:space="preserve"> </v>
      </c>
      <c r="AV104" s="44" t="str">
        <f ca="1">IF(AV9&gt;WEEKNUM(TODAY())," ", IF(AND(AV10="x",SUM($AD103:AV103)&gt;$AD101),Y9-(SUM($AD103:AV103)/SUM($AD101:$BG101)),IF(SUM($AD103:AV103)&gt;=$AD101," ",Y9-(SUM($AD103:AV103)/(SUM($AD101:$BG101))))))</f>
        <v xml:space="preserve"> </v>
      </c>
      <c r="AW104" s="44" t="str">
        <f ca="1">IF(AW9&gt;WEEKNUM(TODAY())," ", IF(AND(AW10="x",SUM($AD103:AW103)&gt;$AD101),Z9-(SUM($AD103:AW103)/SUM($AD101:$BG101)),IF(SUM($AD103:AW103)&gt;=$AD101," ",Z9-(SUM($AD103:AW103)/(SUM($AD101:$BG101))))))</f>
        <v xml:space="preserve"> </v>
      </c>
      <c r="AX104" s="44" t="str">
        <f ca="1">IF(AX9&gt;WEEKNUM(TODAY())," ", IF(AND(AX10="x",SUM($AD103:AX103)&gt;$AD101),AA9-(SUM($AD103:AX103)/SUM($AD101:$BG101)),IF(SUM($AD103:AX103)&gt;=$AD101," ",AA9-(SUM($AD103:AX103)/(SUM($AD101:$BG101))))))</f>
        <v xml:space="preserve"> </v>
      </c>
      <c r="AY104" s="44" t="str">
        <f ca="1">IF(AY9&gt;WEEKNUM(TODAY())," ", IF(AND(AY10="x",SUM($AD103:AY103)&gt;$AD101),AB9-(SUM($AD103:AY103)/SUM($AD101:$BG101)),IF(SUM($AD103:AY103)&gt;=$AD101," ",AB9-(SUM($AD103:AY103)/(SUM($AD101:$BG101))))))</f>
        <v xml:space="preserve"> </v>
      </c>
      <c r="AZ104" s="44" t="str">
        <f ca="1">IF(AZ9&gt;WEEKNUM(TODAY())," ", IF(AND(AZ10="x",SUM($AD103:AZ103)&gt;$AD101),AC9-(SUM($AD103:AZ103)/SUM($AD101:$BG101)),IF(SUM($AD103:AZ103)&gt;=$AD101," ",AC9-(SUM($AD103:AZ103)/(SUM($AD101:$BG101))))))</f>
        <v xml:space="preserve"> </v>
      </c>
      <c r="BA104" s="44" t="str">
        <f ca="1">IF(BA9&gt;WEEKNUM(TODAY())," ", IF(AND(BA10="x",SUM($AD103:BA103)&gt;$AD101),AD9-(SUM($AD103:BA103)/SUM($AD101:$BG101)),IF(SUM($AD103:BA103)&gt;=$AD101," ",AD9-(SUM($AD103:BA103)/(SUM($AD101:$BG101))))))</f>
        <v xml:space="preserve"> </v>
      </c>
      <c r="BB104" s="44" t="str">
        <f ca="1">IF(BB9&gt;WEEKNUM(TODAY())," ", IF(AND(BB10="x",SUM($AD103:BB103)&gt;$AD101),AE9-(SUM($AD103:BB103)/SUM($AD101:$BG101)),IF(SUM($AD103:BB103)&gt;=$AD101," ",AE9-(SUM($AD103:BB103)/(SUM($AD101:$BG101))))))</f>
        <v xml:space="preserve"> </v>
      </c>
      <c r="BC104" s="44" t="str">
        <f ca="1">IF(BC9&gt;WEEKNUM(TODAY())," ", IF(AND(BC10="x",SUM($AD103:BC103)&gt;$AD101),AF9-(SUM($AD103:BC103)/SUM($AD101:$BG101)),IF(SUM($AD103:BC103)&gt;=$AD101," ",AF9-(SUM($AD103:BC103)/(SUM($AD101:$BG101))))))</f>
        <v xml:space="preserve"> </v>
      </c>
      <c r="BD104" s="44" t="str">
        <f ca="1">IF(BD9&gt;WEEKNUM(TODAY())," ", IF(AND(BD10="x",SUM($AD103:BD103)&gt;$AD101),AG9-(SUM($AD103:BD103)/SUM($AD101:$BG101)),IF(SUM($AD103:BD103)&gt;=$AD101," ",AG9-(SUM($AD103:BD103)/(SUM($AD101:$BG101))))))</f>
        <v xml:space="preserve"> </v>
      </c>
      <c r="BE104" s="44" t="str">
        <f ca="1">IF(BE9&gt;WEEKNUM(TODAY())," ", IF(AND(BE10="x",SUM($AD103:BE103)&gt;$AD101),AH9-(SUM($AD103:BE103)/SUM($AD101:$BG101)),IF(SUM($AD103:BE103)&gt;=$AD101," ",AH9-(SUM($AD103:BE103)/(SUM($AD101:$BG101))))))</f>
        <v xml:space="preserve"> </v>
      </c>
      <c r="BF104" s="44" t="str">
        <f ca="1">IF(BF9&gt;WEEKNUM(TODAY())," ", IF(AND(BF10="x",SUM($AD103:BF103)&gt;$AD101),AI9-(SUM($AD103:BF103)/SUM($AD101:$BG101)),IF(SUM($AD103:BF103)&gt;=$AD101," ",AI9-(SUM($AD103:BF103)/(SUM($AD101:$BG101))))))</f>
        <v xml:space="preserve"> </v>
      </c>
      <c r="BG104" s="44" t="str">
        <f ca="1">IF(BG9&gt;WEEKNUM(TODAY())," ", IF(AND(BG10="x",SUM($AD103:BG103)&gt;$AD101),AJ9-(SUM($AD103:BG103)/SUM($AD101:$BG101)),IF(SUM($AD103:BG103)&gt;=$AD101," ",AJ9-(SUM($AD103:BG103)/(SUM($AD101:$BG101))))))</f>
        <v xml:space="preserve"> </v>
      </c>
      <c r="BH104" s="21"/>
    </row>
    <row r="105" spans="2:60" ht="16.2" thickBot="1" x14ac:dyDescent="0.35">
      <c r="B105" s="70"/>
      <c r="C105" s="79"/>
      <c r="D105" s="84"/>
      <c r="E105" s="57"/>
      <c r="F105" s="117"/>
      <c r="H105" s="49" t="str">
        <f>IF(H101= " ", " ",IF(H103&gt;SUM($H101:$BG101), " N/A", IF(SUM($H103:$BG103)=SUM($H101:BG101), " ", IF(H103=SUM($H101:BG101), " ", "x"))))</f>
        <v xml:space="preserve"> </v>
      </c>
      <c r="I105" s="50" t="str">
        <f>IF(SUM($H103:I103) &gt; SUM($H101:I101),  " N/A", IF(SUM($H103:$BG103) = SUM($H101:$BH101),    " ",IF(I103 = SUM($H101:$BH101),  " ",   "x")))</f>
        <v xml:space="preserve"> </v>
      </c>
      <c r="J105" s="50" t="str">
        <f>IF(SUM($H103:J103) &gt; SUM($H101:J101),  " N/A", IF(SUM($H103:$BG103) = SUM($H101:$BH101),    " ",IF(J103 = SUM($H101:$BH101),  " ",   "x")))</f>
        <v xml:space="preserve"> </v>
      </c>
      <c r="K105" s="50" t="str">
        <f>IF(SUM($H103:K103) &gt; SUM($H101:K101),  " N/A", IF(SUM($H103:$BG103) = SUM($H101:$BH101),    " ",IF(K103 = SUM($H101:$BH101),  " ",   "x")))</f>
        <v xml:space="preserve"> </v>
      </c>
      <c r="L105" s="50" t="str">
        <f>IF(SUM($H103:L103) &gt; SUM($H101:L101),  " N/A", IF(SUM($H103:$BG103) = SUM($H101:$BH101),    " ",IF(L103 = SUM($H101:$BH101),  " ",   "x")))</f>
        <v xml:space="preserve"> </v>
      </c>
      <c r="M105" s="50" t="str">
        <f>IF(SUM($H103:M103) &gt; SUM($H101:M101),  " N/A", IF(SUM($H103:$BG103) = SUM($H101:$BH101),    " ",IF(M103 = SUM($H101:$BH101),  " ",   "x")))</f>
        <v xml:space="preserve"> </v>
      </c>
      <c r="N105" s="50" t="str">
        <f>IF(SUM($H103:N103) &gt; SUM($H101:N101),  " N/A", IF(SUM($H103:$BG103) = SUM($H101:$BH101),    " ",IF(N103 = SUM($H101:$BH101),  " ",   "x")))</f>
        <v xml:space="preserve"> </v>
      </c>
      <c r="O105" s="50" t="str">
        <f>IF(SUM($H103:O103) &gt; SUM($H101:O101),  " N/A", IF(SUM($H103:$BG103) = SUM($H101:$BH101),    " ",IF(O103 = SUM($H101:$BH101),  " ",   "x")))</f>
        <v xml:space="preserve"> </v>
      </c>
      <c r="P105" s="50" t="str">
        <f>IF(SUM($H103:P103) &gt; SUM($H101:P101),  " N/A", IF(SUM($H103:$BG103) = SUM($H101:$BH101),    " ",IF(P103 = SUM($H101:$BH101),  " ",   "x")))</f>
        <v xml:space="preserve"> </v>
      </c>
      <c r="Q105" s="50" t="str">
        <f>IF(SUM($H103:Q103) &gt; SUM($H101:Q101),  " N/A", IF(SUM($H103:$BG103) = SUM($H101:$BH101),    " ",IF(Q103 = SUM($H101:$BH101),  " ",   "x")))</f>
        <v xml:space="preserve"> </v>
      </c>
      <c r="R105" s="50" t="str">
        <f>IF(SUM($H103:R103) &gt; SUM($H101:R101),  " N/A", IF(SUM($H103:$BG103) = SUM($H101:$BH101),    " ",IF(R103 = SUM($H101:$BH101),  " ",   "x")))</f>
        <v xml:space="preserve"> </v>
      </c>
      <c r="S105" s="50" t="str">
        <f>IF(SUM($H103:S103) &gt; SUM($H101:S101),  " N/A", IF(SUM($H103:$BG103) = SUM($H101:$BH101),    " ",IF(S103 = SUM($H101:$BH101),  " ",   "x")))</f>
        <v xml:space="preserve"> </v>
      </c>
      <c r="T105" s="50" t="str">
        <f>IF(SUM($H103:T103) &gt; SUM($H101:T101),  " N/A", IF(SUM($H103:$BG103) = SUM($H101:$BH101),    " ",IF(T103 = SUM($H101:$BH101),  " ",   "x")))</f>
        <v xml:space="preserve"> </v>
      </c>
      <c r="U105" s="50" t="str">
        <f>IF(SUM($H103:U103) &gt; SUM($H101:U101),  " N/A", IF(SUM($H103:$BG103) = SUM($H101:$BH101),    " ",IF(U103 = SUM($H101:$BH101),  " ",   "x")))</f>
        <v xml:space="preserve"> </v>
      </c>
      <c r="V105" s="50" t="str">
        <f>IF(SUM($H103:V103) &gt; SUM($H101:V101),  " N/A", IF(SUM($H103:$BG103) = SUM($H101:$BH101),    " ",IF(V103 = SUM($H101:$BH101),  " ",   "x")))</f>
        <v xml:space="preserve"> </v>
      </c>
      <c r="W105" s="50" t="str">
        <f>IF(SUM($H103:W103) &gt; SUM($H101:W101),  " N/A", IF(SUM($H103:$BG103) = SUM($H101:$BH101),    " ",IF(W103 = SUM($H101:$BH101),  " ",   "x")))</f>
        <v xml:space="preserve"> </v>
      </c>
      <c r="X105" s="50" t="str">
        <f>IF(SUM($H103:X103) &gt; SUM($H101:X101),  " N/A", IF(SUM($H103:$BG103) = SUM($H101:$BH101),    " ",IF(X103 = SUM($H101:$BH101),  " ",   "x")))</f>
        <v xml:space="preserve"> </v>
      </c>
      <c r="Y105" s="50" t="str">
        <f>IF(SUM($H103:Y103) &gt; SUM($H101:Y101),  " N/A", IF(SUM($H103:$BG103) = SUM($H101:$BH101),    " ",IF(Y103 = SUM($H101:$BH101),  " ",   "x")))</f>
        <v xml:space="preserve"> </v>
      </c>
      <c r="Z105" s="50" t="str">
        <f>IF(SUM($H103:Z103) &gt; SUM($H101:Z101),  " N/A", IF(SUM($H103:$BG103) = SUM($H101:$BH101),    " ",IF(Z103 = SUM($H101:$BH101),  " ",   "x")))</f>
        <v xml:space="preserve"> </v>
      </c>
      <c r="AA105" s="50" t="str">
        <f>IF(SUM($H103:AA103) &gt; SUM($H101:AA101),  " N/A", IF(SUM($H103:$BG103) = SUM($H101:$BH101),    " ",IF(AA103 = SUM($H101:$BH101),  " ",   "x")))</f>
        <v xml:space="preserve"> </v>
      </c>
      <c r="AB105" s="50" t="str">
        <f>IF(SUM($H103:AB103) &gt; SUM($H101:AB101),  " N/A", IF(SUM($H103:$BG103) = SUM($H101:$BH101),    " ",IF(AB103 = SUM($H101:$BH101),  " ",   "x")))</f>
        <v xml:space="preserve"> </v>
      </c>
      <c r="AC105" s="50" t="str">
        <f>IF(SUM($H103:AC103) &gt; SUM($H101:AC101),  " N/A", IF(SUM($H103:$BG103) = SUM($H101:$BH101),    " ",IF(AC103 = SUM($H101:$BH101),  " ",   "x")))</f>
        <v xml:space="preserve"> </v>
      </c>
      <c r="AD105" s="50" t="str">
        <f>IF(SUM($H103:AD103) &gt; SUM($H101:AD101),  " N/A", IF(SUM($H103:$BG103) = SUM($H101:$BH101),    " ",IF(AD103 = SUM($H101:$BH101),  " ",   "x")))</f>
        <v xml:space="preserve"> </v>
      </c>
      <c r="AE105" s="50" t="str">
        <f>IF(SUM($H103:AE103) &gt; SUM($H101:AE101),  " N/A", IF(SUM($H103:$BG103) = SUM($H101:$BH101),    " ",IF(AE103 = SUM($H101:$BH101),  " ",   "x")))</f>
        <v xml:space="preserve"> </v>
      </c>
      <c r="AF105" s="50" t="str">
        <f>IF(SUM($H103:AF103) &gt; SUM($H101:AF101),  " N/A", IF(SUM($H103:$BG103) = SUM($H101:$BH101),    " ",IF(AF103 = SUM($H101:$BH101),  " ",   "x")))</f>
        <v xml:space="preserve"> </v>
      </c>
      <c r="AG105" s="50" t="str">
        <f>IF(SUM($H103:AG103) &gt; SUM($H101:AG101),  " N/A", IF(SUM($H103:$BG103) = SUM($H101:$BH101),    " ",IF(AG103 = SUM($H101:$BH101),  " ",   "x")))</f>
        <v xml:space="preserve"> </v>
      </c>
      <c r="AH105" s="50" t="str">
        <f>IF(SUM($H103:AH103) &gt; SUM($H101:AH101),  " N/A", IF(SUM($H103:$BG103) = SUM($H101:$BH101),    " ",IF(AH103 = SUM($H101:$BH101),  " ",   "x")))</f>
        <v xml:space="preserve"> </v>
      </c>
      <c r="AI105" s="50" t="str">
        <f>IF(SUM($H103:AI103) &gt; SUM($H101:AI101),  " N/A", IF(SUM($H103:$BG103) = SUM($H101:$BH101),    " ",IF(AI103 = SUM($H101:$BH101),  " ",   "x")))</f>
        <v xml:space="preserve"> </v>
      </c>
      <c r="AJ105" s="50" t="str">
        <f>IF(SUM($H103:AJ103) &gt; SUM($H101:AJ101),  " N/A", IF(SUM($H103:$BG103) = SUM($H101:$BH101),    " ",IF(AJ103 = SUM($H101:$BH101),  " ",   "x")))</f>
        <v xml:space="preserve"> </v>
      </c>
      <c r="AK105" s="50" t="str">
        <f>IF(SUM($H103:AK103) &gt; SUM($H101:AK101),  " N/A", IF(SUM($H103:$BG103) = SUM($H101:$BH101),    " ",IF(AK103 = SUM($H101:$BH101),  " ",   "x")))</f>
        <v xml:space="preserve"> </v>
      </c>
      <c r="AL105" s="50" t="str">
        <f>IF(SUM($H103:AL103) &gt; SUM($H101:AL101),  " N/A", IF(SUM($H103:$BG103) = SUM($H101:$BH101),    " ",IF(AL103 = SUM($H101:$BH101),  " ",   "x")))</f>
        <v xml:space="preserve"> </v>
      </c>
      <c r="AM105" s="50" t="str">
        <f>IF(SUM($H103:AM103) &gt; SUM($H101:AM101),  " N/A", IF(SUM($H103:$BG103) = SUM($H101:$BH101),    " ",IF(AM103 = SUM($H101:$BH101),  " ",   "x")))</f>
        <v xml:space="preserve"> </v>
      </c>
      <c r="AN105" s="50" t="str">
        <f>IF(SUM($H103:AN103) &gt; SUM($H101:AN101),  " N/A", IF(SUM($H103:$BG103) = SUM($H101:$BH101),    " ",IF(AN103 = SUM($H101:$BH101),  " ",   "x")))</f>
        <v xml:space="preserve"> </v>
      </c>
      <c r="AO105" s="50" t="str">
        <f>IF(SUM($H103:AO103) &gt; SUM($H101:AO101),  " N/A", IF(SUM($H103:$BG103) = SUM($H101:$BH101),    " ",IF(AO103 = SUM($H101:$BH101),  " ",   "x")))</f>
        <v xml:space="preserve"> </v>
      </c>
      <c r="AP105" s="50" t="str">
        <f>IF(SUM($H103:AP103) &gt; SUM($H101:AP101),  " N/A", IF(SUM($H103:$BG103) = SUM($H101:$BH101),    " ",IF(AP103 = SUM($H101:$BH101),  " ",   "x")))</f>
        <v xml:space="preserve"> </v>
      </c>
      <c r="AQ105" s="50" t="str">
        <f>IF(SUM($H103:AQ103) &gt; SUM($H101:AQ101),  " N/A", IF(SUM($H103:$BG103) = SUM($H101:$BH101),    " ",IF(AQ103 = SUM($H101:$BH101),  " ",   "x")))</f>
        <v xml:space="preserve"> </v>
      </c>
      <c r="AR105" s="50" t="str">
        <f>IF(SUM($H103:AR103) &gt; SUM($H101:AR101),  " N/A", IF(SUM($H103:$BG103) = SUM($H101:$BH101),    " ",IF(AR103 = SUM($H101:$BH101),  " ",   "x")))</f>
        <v xml:space="preserve"> </v>
      </c>
      <c r="AS105" s="50" t="str">
        <f>IF(SUM($H103:AS103) &gt; SUM($H101:AS101),  " N/A", IF(SUM($H103:$BG103) = SUM($H101:$BH101),    " ",IF(AS103 = SUM($H101:$BH101),  " ",   "x")))</f>
        <v xml:space="preserve"> </v>
      </c>
      <c r="AT105" s="50" t="str">
        <f>IF(SUM($H103:AT103) &gt; SUM($H101:AT101),  " N/A", IF(SUM($H103:$BG103) = SUM($H101:$BH101),    " ",IF(AT103 = SUM($H101:$BH101),  " ",   "x")))</f>
        <v xml:space="preserve"> </v>
      </c>
      <c r="AU105" s="50" t="str">
        <f>IF(SUM($H103:AU103) &gt; SUM($H101:AU101),  " N/A", IF(SUM($H103:$BG103) = SUM($H101:$BH101),    " ",IF(AU103 = SUM($H101:$BH101),  " ",   "x")))</f>
        <v xml:space="preserve"> </v>
      </c>
      <c r="AV105" s="50" t="str">
        <f>IF(SUM($H103:AV103) &gt; SUM($H101:AV101),  " N/A", IF(SUM($H103:$BG103) = SUM($H101:$BH101),    " ",IF(AV103 = SUM($H101:$BH101),  " ",   "x")))</f>
        <v xml:space="preserve"> </v>
      </c>
      <c r="AW105" s="50" t="str">
        <f>IF(SUM($H103:AW103) &gt; SUM($H101:AW101),  " N/A", IF(SUM($H103:$BG103) = SUM($H101:$BH101),    " ",IF(AW103 = SUM($H101:$BH101),  " ",   "x")))</f>
        <v xml:space="preserve"> </v>
      </c>
      <c r="AX105" s="50" t="str">
        <f>IF(SUM($H103:AX103) &gt; SUM($H101:AX101),  " N/A", IF(SUM($H103:$BG103) = SUM($H101:$BH101),    " ",IF(AX103 = SUM($H101:$BH101),  " ",   "x")))</f>
        <v xml:space="preserve"> </v>
      </c>
      <c r="AY105" s="50" t="str">
        <f>IF(SUM($H103:AY103) &gt; SUM($H101:AY101),  " N/A", IF(SUM($H103:$BG103) = SUM($H101:$BH101),    " ",IF(AY103 = SUM($H101:$BH101),  " ",   "x")))</f>
        <v xml:space="preserve"> </v>
      </c>
      <c r="AZ105" s="50" t="str">
        <f>IF(SUM($H103:AZ103) &gt; SUM($H101:AZ101),  " N/A", IF(SUM($H103:$BG103) = SUM($H101:$BH101),    " ",IF(AZ103 = SUM($H101:$BH101),  " ",   "x")))</f>
        <v xml:space="preserve"> </v>
      </c>
      <c r="BA105" s="50" t="str">
        <f>IF(SUM($H103:BA103) &gt; SUM($H101:BA101),  " N/A", IF(SUM($H103:$BG103) = SUM($H101:$BH101),    " ",IF(BA103 = SUM($H101:$BH101),  " ",   "x")))</f>
        <v xml:space="preserve"> </v>
      </c>
      <c r="BB105" s="50" t="str">
        <f>IF(SUM($H103:BB103) &gt; SUM($H101:BB101),  " N/A", IF(SUM($H103:$BG103) = SUM($H101:$BH101),    " ",IF(BB103 = SUM($H101:$BH101),  " ",   "x")))</f>
        <v xml:space="preserve"> </v>
      </c>
      <c r="BC105" s="50" t="str">
        <f>IF(SUM($H103:BC103) &gt; SUM($H101:BC101),  " N/A", IF(SUM($H103:$BG103) = SUM($H101:$BH101),    " ",IF(BC103 = SUM($H101:$BH101),  " ",   "x")))</f>
        <v xml:space="preserve"> </v>
      </c>
      <c r="BD105" s="50" t="str">
        <f>IF(SUM($H103:BD103) &gt; SUM($H101:BD101),  " N/A", IF(SUM($H103:$BG103) = SUM($H101:$BH101),    " ",IF(BD103 = SUM($H101:$BH101),  " ",   "x")))</f>
        <v xml:space="preserve"> </v>
      </c>
      <c r="BE105" s="50" t="str">
        <f>IF(SUM($H103:BE103) &gt; SUM($H101:BE101),  " N/A", IF(SUM($H103:$BG103) = SUM($H101:$BH101),    " ",IF(BE103 = SUM($H101:$BH101),  " ",   "x")))</f>
        <v xml:space="preserve"> </v>
      </c>
      <c r="BF105" s="50" t="str">
        <f>IF(SUM($H103:BF103) &gt; SUM($H101:BF101),  " N/A", IF(SUM($H103:$BG103) = SUM($H101:$BH101),    " ",IF(BF103 = SUM($H101:$BH101),  " ",   "x")))</f>
        <v xml:space="preserve"> </v>
      </c>
      <c r="BG105" s="50" t="str">
        <f>IF(SUM($H103:BG103) &gt; SUM($H101:BG101),  " N/A", IF(SUM($H103:$BG103) = SUM($H101:$BH101),    " ",IF(BG103 = SUM($H101:$BH101),  " ",   "x")))</f>
        <v xml:space="preserve"> </v>
      </c>
      <c r="BH105" s="21"/>
    </row>
    <row r="106" spans="2:60" ht="15.6" x14ac:dyDescent="0.3">
      <c r="B106" s="71"/>
      <c r="C106" s="77"/>
      <c r="D106" s="82" t="s">
        <v>249</v>
      </c>
      <c r="E106" s="54">
        <f>SUM(H106:BG106)</f>
        <v>0</v>
      </c>
      <c r="F106" s="115">
        <f>Gant_24!$E106-E108</f>
        <v>0</v>
      </c>
      <c r="H106" s="41"/>
      <c r="I106" s="42"/>
      <c r="J106" s="42"/>
      <c r="K106" s="42"/>
      <c r="L106" s="51"/>
      <c r="M106" s="51"/>
      <c r="N106" s="51"/>
      <c r="O106" s="51"/>
      <c r="P106" s="51"/>
      <c r="Q106" s="51"/>
      <c r="R106" s="51"/>
      <c r="S106" s="51"/>
      <c r="T106" s="51"/>
      <c r="U106" s="51"/>
      <c r="V106" s="51"/>
      <c r="W106" s="51"/>
      <c r="X106" s="51"/>
      <c r="Y106" s="51"/>
      <c r="Z106" s="51"/>
      <c r="AA106" s="51"/>
      <c r="AB106" s="51"/>
      <c r="AC106" s="51"/>
      <c r="AD106" s="51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  <c r="AO106" s="51"/>
      <c r="AP106" s="51"/>
      <c r="AQ106" s="51"/>
      <c r="AR106" s="51"/>
      <c r="AS106" s="51"/>
      <c r="AT106" s="51"/>
      <c r="AU106" s="51"/>
      <c r="AV106" s="51"/>
      <c r="AW106" s="51"/>
      <c r="AX106" s="51"/>
      <c r="AY106" s="51"/>
      <c r="AZ106" s="51"/>
      <c r="BA106" s="51"/>
      <c r="BB106" s="51"/>
      <c r="BC106" s="51"/>
      <c r="BD106" s="51"/>
      <c r="BE106" s="51"/>
      <c r="BF106" s="51"/>
      <c r="BG106" s="51"/>
      <c r="BH106" s="21"/>
    </row>
    <row r="107" spans="2:60" ht="15.6" x14ac:dyDescent="0.3">
      <c r="B107" s="68"/>
      <c r="C107" s="78"/>
      <c r="D107" s="83" t="s">
        <v>261</v>
      </c>
      <c r="E107" s="55">
        <f>SUM(H107:BG107)</f>
        <v>0</v>
      </c>
      <c r="F107" s="116"/>
      <c r="H107" s="43"/>
      <c r="I107" s="44"/>
      <c r="J107" s="44"/>
      <c r="K107" s="44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  <c r="AA107" s="50"/>
      <c r="AB107" s="50"/>
      <c r="AC107" s="50"/>
      <c r="AD107" s="50"/>
      <c r="AE107" s="50"/>
      <c r="AF107" s="50"/>
      <c r="AG107" s="50"/>
      <c r="AH107" s="50"/>
      <c r="AI107" s="50"/>
      <c r="AJ107" s="50"/>
      <c r="AK107" s="50"/>
      <c r="AL107" s="50"/>
      <c r="AM107" s="50"/>
      <c r="AN107" s="50"/>
      <c r="AO107" s="50"/>
      <c r="AP107" s="50"/>
      <c r="AQ107" s="50"/>
      <c r="AR107" s="50"/>
      <c r="AS107" s="50"/>
      <c r="AT107" s="50"/>
      <c r="AU107" s="50"/>
      <c r="AV107" s="50"/>
      <c r="AW107" s="50"/>
      <c r="AX107" s="50"/>
      <c r="AY107" s="50"/>
      <c r="AZ107" s="50"/>
      <c r="BA107" s="50"/>
      <c r="BB107" s="50"/>
      <c r="BC107" s="50"/>
      <c r="BD107" s="50"/>
      <c r="BE107" s="50"/>
      <c r="BF107" s="50"/>
      <c r="BG107" s="50"/>
      <c r="BH107" s="21"/>
    </row>
    <row r="108" spans="2:60" ht="15.6" x14ac:dyDescent="0.3">
      <c r="B108" s="68" t="s">
        <v>109</v>
      </c>
      <c r="C108" s="78" t="s">
        <v>110</v>
      </c>
      <c r="D108" s="83" t="s">
        <v>241</v>
      </c>
      <c r="E108" s="55">
        <f>SUM(H108:BG108)</f>
        <v>0</v>
      </c>
      <c r="F108" s="116"/>
      <c r="H108" s="45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  <c r="AO108" s="46"/>
      <c r="AP108" s="46"/>
      <c r="AQ108" s="46"/>
      <c r="AR108" s="46"/>
      <c r="AS108" s="46"/>
      <c r="AT108" s="46"/>
      <c r="AU108" s="46"/>
      <c r="AV108" s="46"/>
      <c r="AW108" s="46"/>
      <c r="AX108" s="46"/>
      <c r="AY108" s="46"/>
      <c r="AZ108" s="46"/>
      <c r="BA108" s="46"/>
      <c r="BB108" s="46"/>
      <c r="BC108" s="46"/>
      <c r="BD108" s="46"/>
      <c r="BE108" s="46"/>
      <c r="BF108" s="46"/>
      <c r="BG108" s="46"/>
      <c r="BH108" s="21"/>
    </row>
    <row r="109" spans="2:60" ht="15.6" x14ac:dyDescent="0.3">
      <c r="B109" s="68"/>
      <c r="C109" s="78"/>
      <c r="D109" s="83" t="s">
        <v>278</v>
      </c>
      <c r="E109" s="56">
        <f>MAX(H109:BG109)</f>
        <v>0</v>
      </c>
      <c r="F109" s="116"/>
      <c r="H109" s="47"/>
      <c r="I109" s="48"/>
      <c r="J109" s="48"/>
      <c r="K109" s="48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44"/>
      <c r="AB109" s="44"/>
      <c r="AC109" s="44"/>
      <c r="AD109" s="44" t="str">
        <f>IF(SUM(H106:BG106) = AD108, " 0 ", " ")</f>
        <v xml:space="preserve"> 0 </v>
      </c>
      <c r="AE109" s="44" t="str">
        <f>IF(AE108=0," ",IF(SUM($AD108:AE108)&gt;SUM($AD106:$BG106)," ",(1-(SUM($AD108:AD108)/SUM($AD106:$BG106)))))</f>
        <v xml:space="preserve"> </v>
      </c>
      <c r="AF109" s="44" t="str">
        <f>IF(AF108=0," ",IF(SUM($AD108:AF108)&gt;SUM($AD106:$BG106)," ",(2-(SUM($AD108:AE108)/SUM($AD106:$BG106)))))</f>
        <v xml:space="preserve"> </v>
      </c>
      <c r="AG109" s="44" t="str">
        <f>IF(AG108=0," ",IF(SUM($AD108:AG108)&gt;SUM($AD106:$BG106)," ",(3-(SUM($AD108:AF108)/SUM($AD106:$BG106)))))</f>
        <v xml:space="preserve"> </v>
      </c>
      <c r="AH109" s="44" t="str">
        <f>IF(AH108=0," ",IF(SUM($AD108:AH108)&gt;SUM($AD106:$BG106)," ",(4-(SUM($AD108:AG108)/SUM($AD106:$BG106)))))</f>
        <v xml:space="preserve"> </v>
      </c>
      <c r="AI109" s="44" t="str">
        <f>IF(AI108=0," ",IF(SUM($AD108:AI108)&gt;SUM($AD106:$BG106)," ",(5-(SUM($AD108:AH108)/SUM($AD106:$BG106)))))</f>
        <v xml:space="preserve"> </v>
      </c>
      <c r="AJ109" s="44" t="str">
        <f>IF(AJ108=0," ",IF(SUM($AD108:AJ108)&gt;SUM($AD106:$BG106)," ",(6-(SUM($AD108:AI108)/SUM($AD106:$BG106)))))</f>
        <v xml:space="preserve"> </v>
      </c>
      <c r="AK109" s="44" t="str">
        <f>IF(AK108=0," ",IF(SUM($AD108:AK108)&gt;SUM($AD106:$BG106)," ",(7-(SUM($AD108:AJ108)/SUM($AD106:$BG106)))))</f>
        <v xml:space="preserve"> </v>
      </c>
      <c r="AL109" s="44" t="str">
        <f>IF(AL108=0," ",IF(SUM($AD108:AL108)&gt;SUM($AD106:$BG106)," ",(8-(SUM($AD108:AK108)/SUM($AD106:$BG106)))))</f>
        <v xml:space="preserve"> </v>
      </c>
      <c r="AM109" s="44" t="str">
        <f>IF(AM108=0," ",IF(SUM($AD108:AM108)&gt;SUM($AD106:$BG106)," ",(9-(SUM($AD108:AL108)/SUM($AD106:$BG106)))))</f>
        <v xml:space="preserve"> </v>
      </c>
      <c r="AN109" s="44" t="str">
        <f>IF(AN108=0," ",IF(SUM($AD108:AN108)&gt;SUM($AD106:$BG106)," ",(10-(SUM($AD108:AM108)/SUM($AD106:$BG106)))))</f>
        <v xml:space="preserve"> </v>
      </c>
      <c r="AO109" s="44" t="str">
        <f>IF(AO108=0," ",IF(SUM($AD108:AO108)&gt;SUM($AD106:$BG106)," ",(11-(SUM($AD108:AN108)/SUM($AD106:$BG106)))))</f>
        <v xml:space="preserve"> </v>
      </c>
      <c r="AP109" s="44" t="str">
        <f>IF(AP108=0," ",IF(SUM($AD108:AP108)&gt;SUM($AD106:$BG106)," ",(12-(SUM($AD108:AO108)/SUM($AD106:$BG106)))))</f>
        <v xml:space="preserve"> </v>
      </c>
      <c r="AQ109" s="44" t="str">
        <f>IF(AQ108=0," ",IF(SUM($AD108:AQ108)&gt;SUM($AD106:$BG106)," ",(13-(SUM($AD108:AP108)/SUM($AD106:$BG106)))))</f>
        <v xml:space="preserve"> </v>
      </c>
      <c r="AR109" s="44" t="str">
        <f>IF(AR108=0," ",IF(SUM($AD108:AR108)&gt;SUM($AD106:$BG106)," ",(14-(SUM($AD108:AQ108)/SUM($AD106:$BG106)))))</f>
        <v xml:space="preserve"> </v>
      </c>
      <c r="AS109" s="44" t="str">
        <f>IF(AS108=0," ",IF(SUM($AD108:AS108)&gt;SUM($AD106:$BG106)," ",(15-(SUM($AD108:AR108)/SUM($AD106:$BG106)))))</f>
        <v xml:space="preserve"> </v>
      </c>
      <c r="AT109" s="44" t="str">
        <f>IF(AT108=0," ",IF(SUM($AD108:AT108)&gt;SUM($AD106:$BG106)," ",(16-(SUM($AD108:AS108)/SUM($AD106:$BG106)))))</f>
        <v xml:space="preserve"> </v>
      </c>
      <c r="AU109" s="44" t="str">
        <f>IF(AU108=0," ",IF(SUM($AD108:AU108)&gt;SUM($AD106:$BG106)," ",(17-(SUM($AD108:AT108)/SUM($AD106:$BG106)))))</f>
        <v xml:space="preserve"> </v>
      </c>
      <c r="AV109" s="44" t="str">
        <f>IF(AV108=0," ",IF(SUM($AD108:AV108)&gt;SUM($AD106:$BG106)," ",(18-(SUM($AD108:AU108)/SUM($AD106:$BG106)))))</f>
        <v xml:space="preserve"> </v>
      </c>
      <c r="AW109" s="44" t="str">
        <f>IF(AW108=0," ",IF(SUM($AD108:AW108)&gt;SUM($AD106:$BG106)," ",(19-(SUM($AD108:AV108)/SUM($AD106:$BG106)))))</f>
        <v xml:space="preserve"> </v>
      </c>
      <c r="AX109" s="44" t="str">
        <f>IF(AX108=0," ",IF(SUM($AD108:AX108)&gt;SUM($AD106:$BG106)," ",(20-(SUM($AD108:AW108)/SUM($AD106:$BG106)))))</f>
        <v xml:space="preserve"> </v>
      </c>
      <c r="AY109" s="44" t="str">
        <f>IF(AY108=0," ",IF(SUM($AD108:AY108)&gt;SUM($AD106:$BG106)," ",(21-(SUM($AD108:AX108)/SUM($AD106:$BG106)))))</f>
        <v xml:space="preserve"> </v>
      </c>
      <c r="AZ109" s="44" t="str">
        <f>IF(AZ108=0," ",IF(SUM($AD108:AZ108)&gt;SUM($AD106:$BG106)," ",(22-(SUM($AD108:AY108)/SUM($AD106:$BG106)))))</f>
        <v xml:space="preserve"> </v>
      </c>
      <c r="BA109" s="44" t="str">
        <f>IF(BA108=0," ",IF(SUM($AD108:BA108)&gt;SUM($AD106:$BG106)," ",(23-(SUM($AD108:AZ108)/SUM($AD106:$BG106)))))</f>
        <v xml:space="preserve"> </v>
      </c>
      <c r="BB109" s="44" t="str">
        <f>IF(BB108=0," ",IF(SUM($AD108:BB108)&gt;SUM($AD106:$BG106)," ",(243-(SUM($AD108:BA108)/SUM($AD106:$BG106)))))</f>
        <v xml:space="preserve"> </v>
      </c>
      <c r="BC109" s="44" t="str">
        <f>IF(BC108=0," ",IF(SUM($AD108:BC108)&gt;SUM($AD106:$BG106)," ",(25-(SUM($AD108:BB108)/SUM($AD106:$BG106)))))</f>
        <v xml:space="preserve"> </v>
      </c>
      <c r="BD109" s="44" t="str">
        <f>IF(BD108=0," ",IF(SUM($AD108:BD108)&gt;SUM($AD106:$BG106)," ",(26-(SUM($AD108:BC108)/SUM($AD106:$BG106)))))</f>
        <v xml:space="preserve"> </v>
      </c>
      <c r="BE109" s="44" t="str">
        <f>IF(BE108=0," ",IF(SUM($AD108:BE108)&gt;SUM($AD106:$BG106)," ",(27-(SUM($AD108:BD108)/SUM($AD106:$BG106)))))</f>
        <v xml:space="preserve"> </v>
      </c>
      <c r="BF109" s="44" t="str">
        <f>IF(BF108=0," ",IF(SUM($AD108:BF108)&gt;SUM($AD106:$BG106)," ",(28-(SUM($AD108:BE108)/SUM($AD106:$BG106)))))</f>
        <v xml:space="preserve"> </v>
      </c>
      <c r="BG109" s="44" t="str">
        <f>IF(BG108=0," ",IF(SUM($AD108:BG108)&gt;SUM($AD106:$BG106)," ",(29-(SUM($AD108:BF108)/SUM($AD106:$BG106)))))</f>
        <v xml:space="preserve"> </v>
      </c>
      <c r="BH109" s="21"/>
    </row>
    <row r="110" spans="2:60" ht="16.2" thickBot="1" x14ac:dyDescent="0.35">
      <c r="B110" s="70"/>
      <c r="C110" s="79"/>
      <c r="D110" s="84"/>
      <c r="E110" s="57"/>
      <c r="F110" s="117"/>
      <c r="H110" s="49" t="str">
        <f>IF(H106= " ", " ",IF(H108&gt;SUM($H106:$BG106), " N/A", IF(SUM($H108:$BG108)=SUM($H106:BG106), " ", IF(H108=SUM($H106:BG106), " ", "x"))))</f>
        <v xml:space="preserve"> </v>
      </c>
      <c r="I110" s="50" t="str">
        <f>IF(SUM($H108:I108) &gt; SUM($H106:I106),  " N/A", IF(SUM($H108:$BG108) = SUM($H106:$BH106),    " ",IF(I108 = SUM($H106:$BH106),  " ",   "x")))</f>
        <v xml:space="preserve"> </v>
      </c>
      <c r="J110" s="50" t="str">
        <f>IF(SUM($H108:J108) &gt; SUM($H106:J106),  " N/A", IF(SUM($H108:$BG108) = SUM($H106:$BH106),    " ",IF(J108 = SUM($H106:$BH106),  " ",   "x")))</f>
        <v xml:space="preserve"> </v>
      </c>
      <c r="K110" s="50" t="str">
        <f>IF(SUM($H108:K108) &gt; SUM($H106:K106),  " N/A", IF(SUM($H108:$BG108) = SUM($H106:$BH106),    " ",IF(K108 = SUM($H106:$BH106),  " ",   "x")))</f>
        <v xml:space="preserve"> </v>
      </c>
      <c r="L110" s="44" t="str">
        <f>IF(SUM($H108:L108) &gt; SUM($H106:L106),  " N/A", IF(SUM($H108:$BG108) = SUM($H87:$BH87),    " ",IF(L108 = SUM($H87:$BH87),  " ",   "x")))</f>
        <v xml:space="preserve"> </v>
      </c>
      <c r="M110" s="44" t="str">
        <f>IF(SUM($H108:M108) &gt; SUM($H106:M106),  " N/A", IF(SUM($H108:$BG108) = SUM($H87:$BH87),    " ",IF(M108 = SUM($H87:$BH87),  " ",   "x")))</f>
        <v xml:space="preserve"> </v>
      </c>
      <c r="N110" s="44" t="str">
        <f>IF(SUM($H108:N108) &gt; SUM($H106:N106),  " N/A", IF(SUM($H108:$BG108) = SUM($H87:$BH87),    " ",IF(N108 = SUM($H87:$BH87),  " ",   "x")))</f>
        <v xml:space="preserve"> </v>
      </c>
      <c r="O110" s="44" t="str">
        <f>IF(SUM($H108:O108) &gt; SUM($H106:O106),  " N/A", IF(SUM($H108:$BG108) = SUM($H87:$BH87),    " ",IF(O108 = SUM($H87:$BH87),  " ",   "x")))</f>
        <v xml:space="preserve"> </v>
      </c>
      <c r="P110" s="44" t="str">
        <f>IF(SUM($H108:P108) &gt; SUM($H106:P106),  " N/A", IF(SUM($H108:$BG108) = SUM($H87:$BH87),    " ",IF(P108 = SUM($H87:$BH87),  " ",   "x")))</f>
        <v xml:space="preserve"> </v>
      </c>
      <c r="Q110" s="44" t="str">
        <f>IF(SUM($H108:Q108) &gt; SUM($H106:Q106),  " N/A", IF(SUM($H108:$BG108) = SUM($H87:$BH87),    " ",IF(Q108 = SUM($H87:$BH87),  " ",   "x")))</f>
        <v xml:space="preserve"> </v>
      </c>
      <c r="R110" s="44" t="str">
        <f>IF(SUM($H108:R108) &gt; SUM($H106:R106),  " N/A", IF(SUM($H108:$BG108) = SUM($H87:$BH87),    " ",IF(R108 = SUM($H87:$BH87),  " ",   "x")))</f>
        <v xml:space="preserve"> </v>
      </c>
      <c r="S110" s="44" t="str">
        <f>IF(SUM($H108:S108) &gt; SUM($H106:S106),  " N/A", IF(SUM($H108:$BG108) = SUM($H87:$BH87),    " ",IF(S108 = SUM($H87:$BH87),  " ",   "x")))</f>
        <v xml:space="preserve"> </v>
      </c>
      <c r="T110" s="44" t="str">
        <f>IF(SUM($H108:T108) &gt; SUM($H106:T106),  " N/A", IF(SUM($H108:$BG108) = SUM($H87:$BH87),    " ",IF(T108 = SUM($H87:$BH87),  " ",   "x")))</f>
        <v xml:space="preserve"> </v>
      </c>
      <c r="U110" s="44" t="str">
        <f>IF(SUM($H108:U108) &gt; SUM($H106:U106),  " N/A", IF(SUM($H108:$BG108) = SUM($H87:$BH87),    " ",IF(U108 = SUM($H87:$BH87),  " ",   "x")))</f>
        <v xml:space="preserve"> </v>
      </c>
      <c r="V110" s="44" t="str">
        <f>IF(SUM($H108:V108) &gt; SUM($H106:V106),  " N/A", IF(SUM($H108:$BG108) = SUM($H87:$BH87),    " ",IF(V108 = SUM($H87:$BH87),  " ",   "x")))</f>
        <v xml:space="preserve"> </v>
      </c>
      <c r="W110" s="44" t="str">
        <f>IF(SUM($H108:W108) &gt; SUM($H106:W106),  " N/A", IF(SUM($H108:$BG108) = SUM($H87:$BH87),    " ",IF(W108 = SUM($H87:$BH87),  " ",   "x")))</f>
        <v xml:space="preserve"> </v>
      </c>
      <c r="X110" s="44" t="str">
        <f>IF(SUM($H108:X108) &gt; SUM($H106:X106),  " N/A", IF(SUM($H108:$BG108) = SUM($H87:$BH87),    " ",IF(X108 = SUM($H87:$BH87),  " ",   "x")))</f>
        <v xml:space="preserve"> </v>
      </c>
      <c r="Y110" s="44" t="str">
        <f>IF(SUM($H108:Y108) &gt; SUM($H106:Y106),  " N/A", IF(SUM($H108:$BG108) = SUM($H87:$BH87),    " ",IF(Y108 = SUM($H87:$BH87),  " ",   "x")))</f>
        <v xml:space="preserve"> </v>
      </c>
      <c r="Z110" s="44" t="str">
        <f>IF(SUM($H108:Z108) &gt; SUM($H106:Z106),  " N/A", IF(SUM($H108:$BG108) = SUM($H87:$BH87),    " ",IF(Z108 = SUM($H87:$BH87),  " ",   "x")))</f>
        <v xml:space="preserve"> </v>
      </c>
      <c r="AA110" s="44" t="str">
        <f>IF(SUM($H108:AA108) &gt; SUM($H106:AA106),  " N/A", IF(SUM($H108:$BG108) = SUM($H87:$BH87),    " ",IF(AA108 = SUM($H87:$BH87),  " ",   "x")))</f>
        <v xml:space="preserve"> </v>
      </c>
      <c r="AB110" s="44" t="str">
        <f>IF(SUM($H108:AB108) &gt; SUM($H106:AB106),  " N/A", IF(SUM($H108:$BG108) = SUM($H87:$BH87),    " ",IF(AB108 = SUM($H87:$BH87),  " ",   "x")))</f>
        <v xml:space="preserve"> </v>
      </c>
      <c r="AC110" s="44" t="str">
        <f>IF(SUM($H108:AC108) &gt; SUM($H106:AC106),  " N/A", IF(SUM($H108:$BG108) = SUM($H87:$BH87),    " ",IF(AC108 = SUM($H87:$BH87),  " ",   "x")))</f>
        <v xml:space="preserve"> </v>
      </c>
      <c r="AD110" s="44" t="str">
        <f>IF(SUM($H108:AD108) &gt; SUM($H106:AD106),  " N/A", IF(SUM($H108:$BG108) = SUM($H87:$BH87),    " ",IF(AD108 = SUM($H87:$BH87),  " ",   "x")))</f>
        <v xml:space="preserve"> </v>
      </c>
      <c r="AE110" s="44" t="str">
        <f>IF(SUM($H108:AE108) &gt; SUM($H106:AE106),  " N/A", IF(SUM($H108:$BG108) = SUM($H87:$BH87),    " ",IF(AE108 = SUM($H87:$BH87),  " ",   "x")))</f>
        <v xml:space="preserve"> </v>
      </c>
      <c r="AF110" s="44" t="str">
        <f>IF(SUM($H108:AF108) &gt; SUM($H106:AF106),  " N/A", IF(SUM($H108:$BG108) = SUM($H87:$BH87),    " ",IF(AF108 = SUM($H87:$BH87),  " ",   "x")))</f>
        <v xml:space="preserve"> </v>
      </c>
      <c r="AG110" s="44" t="str">
        <f>IF(SUM($H108:AG108) &gt; SUM($H106:AG106),  " N/A", IF(SUM($H108:$BG108) = SUM($H87:$BH87),    " ",IF(AG108 = SUM($H87:$BH87),  " ",   "x")))</f>
        <v xml:space="preserve"> </v>
      </c>
      <c r="AH110" s="44" t="str">
        <f>IF(SUM($H108:AH108) &gt; SUM($H106:AH106),  " N/A", IF(SUM($H108:$BG108) = SUM($H87:$BH87),    " ",IF(AH108 = SUM($H87:$BH87),  " ",   "x")))</f>
        <v xml:space="preserve"> </v>
      </c>
      <c r="AI110" s="44" t="str">
        <f>IF(SUM($H108:AI108) &gt; SUM($H106:AI106),  " N/A", IF(SUM($H108:$BG108) = SUM($H87:$BH87),    " ",IF(AI108 = SUM($H87:$BH87),  " ",   "x")))</f>
        <v xml:space="preserve"> </v>
      </c>
      <c r="AJ110" s="44" t="str">
        <f>IF(SUM($H108:AJ108) &gt; SUM($H106:AJ106),  " N/A", IF(SUM($H108:$BG108) = SUM($H87:$BH87),    " ",IF(AJ108 = SUM($H87:$BH87),  " ",   "x")))</f>
        <v xml:space="preserve"> </v>
      </c>
      <c r="AK110" s="44" t="str">
        <f>IF(SUM($H108:AK108) &gt; SUM($H106:AK106),  " N/A", IF(SUM($H108:$BG108) = SUM($H87:$BH87),    " ",IF(AK108 = SUM($H87:$BH87),  " ",   "x")))</f>
        <v xml:space="preserve"> </v>
      </c>
      <c r="AL110" s="44" t="str">
        <f>IF(SUM($H108:AL108) &gt; SUM($H106:AL106),  " N/A", IF(SUM($H108:$BG108) = SUM($H87:$BH87),    " ",IF(AL108 = SUM($H87:$BH87),  " ",   "x")))</f>
        <v xml:space="preserve"> </v>
      </c>
      <c r="AM110" s="44" t="str">
        <f>IF(SUM($H108:AM108) &gt; SUM($H106:AM106),  " N/A", IF(SUM($H108:$BG108) = SUM($H87:$BH87),    " ",IF(AM108 = SUM($H87:$BH87),  " ",   "x")))</f>
        <v xml:space="preserve"> </v>
      </c>
      <c r="AN110" s="44" t="str">
        <f>IF(SUM($H108:AN108) &gt; SUM($H106:AN106),  " N/A", IF(SUM($H108:$BG108) = SUM($H87:$BH87),    " ",IF(AN108 = SUM($H87:$BH87),  " ",   "x")))</f>
        <v xml:space="preserve"> </v>
      </c>
      <c r="AO110" s="44" t="str">
        <f>IF(SUM($H108:AO108) &gt; SUM($H106:AO106),  " N/A", IF(SUM($H108:$BG108) = SUM($H87:$BH87),    " ",IF(AO108 = SUM($H87:$BH87),  " ",   "x")))</f>
        <v xml:space="preserve"> </v>
      </c>
      <c r="AP110" s="44" t="str">
        <f>IF(SUM($H108:AP108) &gt; SUM($H106:AP106),  " N/A", IF(SUM($H108:$BG108) = SUM($H87:$BH87),    " ",IF(AP108 = SUM($H87:$BH87),  " ",   "x")))</f>
        <v xml:space="preserve"> </v>
      </c>
      <c r="AQ110" s="44" t="str">
        <f>IF(SUM($H108:AQ108) &gt; SUM($H106:AQ106),  " N/A", IF(SUM($H108:$BG108) = SUM($H87:$BH87),    " ",IF(AQ108 = SUM($H87:$BH87),  " ",   "x")))</f>
        <v xml:space="preserve"> </v>
      </c>
      <c r="AR110" s="44" t="str">
        <f>IF(SUM($H108:AR108) &gt; SUM($H106:AR106),  " N/A", IF(SUM($H108:$BG108) = SUM($H87:$BH87),    " ",IF(AR108 = SUM($H87:$BH87),  " ",   "x")))</f>
        <v xml:space="preserve"> </v>
      </c>
      <c r="AS110" s="44" t="str">
        <f>IF(SUM($H108:AS108) &gt; SUM($H106:AS106),  " N/A", IF(SUM($H108:$BG108) = SUM($H87:$BH87),    " ",IF(AS108 = SUM($H87:$BH87),  " ",   "x")))</f>
        <v xml:space="preserve"> </v>
      </c>
      <c r="AT110" s="44" t="str">
        <f>IF(SUM($H108:AT108) &gt; SUM($H106:AT106),  " N/A", IF(SUM($H108:$BG108) = SUM($H87:$BH87),    " ",IF(AT108 = SUM($H87:$BH87),  " ",   "x")))</f>
        <v xml:space="preserve"> </v>
      </c>
      <c r="AU110" s="44" t="str">
        <f>IF(SUM($H108:AU108) &gt; SUM($H106:AU106),  " N/A", IF(SUM($H108:$BG108) = SUM($H87:$BH87),    " ",IF(AU108 = SUM($H87:$BH87),  " ",   "x")))</f>
        <v xml:space="preserve"> </v>
      </c>
      <c r="AV110" s="44" t="str">
        <f>IF(SUM($H108:AV108) &gt; SUM($H106:AV106),  " N/A", IF(SUM($H108:$BG108) = SUM($H87:$BH87),    " ",IF(AV108 = SUM($H87:$BH87),  " ",   "x")))</f>
        <v xml:space="preserve"> </v>
      </c>
      <c r="AW110" s="44" t="str">
        <f>IF(SUM($H108:AW108) &gt; SUM($H106:AW106),  " N/A", IF(SUM($H108:$BG108) = SUM($H87:$BH87),    " ",IF(AW108 = SUM($H87:$BH87),  " ",   "x")))</f>
        <v xml:space="preserve"> </v>
      </c>
      <c r="AX110" s="44" t="str">
        <f>IF(SUM($H108:AX108) &gt; SUM($H106:AX106),  " N/A", IF(SUM($H108:$BG108) = SUM($H87:$BH87),    " ",IF(AX108 = SUM($H87:$BH87),  " ",   "x")))</f>
        <v xml:space="preserve"> </v>
      </c>
      <c r="AY110" s="44" t="str">
        <f>IF(SUM($H108:AY108) &gt; SUM($H106:AY106),  " N/A", IF(SUM($H108:$BG108) = SUM($H87:$BH87),    " ",IF(AY108 = SUM($H87:$BH87),  " ",   "x")))</f>
        <v xml:space="preserve"> </v>
      </c>
      <c r="AZ110" s="44" t="str">
        <f>IF(SUM($H108:AZ108) &gt; SUM($H106:AZ106),  " N/A", IF(SUM($H108:$BG108) = SUM($H87:$BH87),    " ",IF(AZ108 = SUM($H87:$BH87),  " ",   "x")))</f>
        <v xml:space="preserve"> </v>
      </c>
      <c r="BA110" s="44" t="str">
        <f>IF(SUM($H108:BA108) &gt; SUM($H106:BA106),  " N/A", IF(SUM($H108:$BG108) = SUM($H87:$BH87),    " ",IF(BA108 = SUM($H87:$BH87),  " ",   "x")))</f>
        <v xml:space="preserve"> </v>
      </c>
      <c r="BB110" s="44" t="str">
        <f>IF(SUM($H108:BB108) &gt; SUM($H106:BB106),  " N/A", IF(SUM($H108:$BG108) = SUM($H87:$BH87),    " ",IF(BB108 = SUM($H87:$BH87),  " ",   "x")))</f>
        <v xml:space="preserve"> </v>
      </c>
      <c r="BC110" s="44" t="str">
        <f>IF(SUM($H108:BC108) &gt; SUM($H106:BC106),  " N/A", IF(SUM($H108:$BG108) = SUM($H87:$BH87),    " ",IF(BC108 = SUM($H87:$BH87),  " ",   "x")))</f>
        <v xml:space="preserve"> </v>
      </c>
      <c r="BD110" s="44" t="str">
        <f>IF(SUM($H108:BD108) &gt; SUM($H106:BD106),  " N/A", IF(SUM($H108:$BG108) = SUM($H87:$BH87),    " ",IF(BD108 = SUM($H87:$BH87),  " ",   "x")))</f>
        <v xml:space="preserve"> </v>
      </c>
      <c r="BE110" s="44" t="str">
        <f>IF(SUM($H108:BE108) &gt; SUM($H106:BE106),  " N/A", IF(SUM($H108:$BG108) = SUM($H87:$BH87),    " ",IF(BE108 = SUM($H87:$BH87),  " ",   "x")))</f>
        <v xml:space="preserve"> </v>
      </c>
      <c r="BF110" s="44" t="str">
        <f>IF(SUM($H108:BF108) &gt; SUM($H106:BF106),  " N/A", IF(SUM($H108:$BG108) = SUM($H87:$BH87),    " ",IF(BF108 = SUM($H87:$BH87),  " ",   "x")))</f>
        <v xml:space="preserve"> </v>
      </c>
      <c r="BG110" s="44" t="str">
        <f>IF(SUM($H108:BG108) &gt; SUM($H106:BG106),  " N/A", IF(SUM($H108:$BG108) = SUM($H87:$BH87),    " ",IF(BG108 = SUM($H87:$BH87),  " ",   "x")))</f>
        <v xml:space="preserve"> </v>
      </c>
      <c r="BH110" s="21"/>
    </row>
    <row r="111" spans="2:60" ht="15.6" x14ac:dyDescent="0.3">
      <c r="B111" s="71"/>
      <c r="C111" s="77"/>
      <c r="D111" s="82" t="s">
        <v>249</v>
      </c>
      <c r="E111" s="54">
        <f>SUM(H111:BG111)</f>
        <v>0</v>
      </c>
      <c r="F111" s="115">
        <f>Gant_24!$E111-E113</f>
        <v>0</v>
      </c>
      <c r="H111" s="41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>
        <v>0</v>
      </c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42"/>
      <c r="BB111" s="42"/>
      <c r="BC111" s="42"/>
      <c r="BD111" s="42"/>
      <c r="BE111" s="42"/>
      <c r="BF111" s="42"/>
      <c r="BG111" s="42"/>
      <c r="BH111" s="21"/>
    </row>
    <row r="112" spans="2:60" ht="15.6" x14ac:dyDescent="0.3">
      <c r="B112" s="68"/>
      <c r="C112" s="78"/>
      <c r="D112" s="83" t="s">
        <v>261</v>
      </c>
      <c r="E112" s="55">
        <f>SUM(H112:BG112)</f>
        <v>0</v>
      </c>
      <c r="F112" s="116"/>
      <c r="H112" s="43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  <c r="AW112" s="44"/>
      <c r="AX112" s="44"/>
      <c r="AY112" s="44"/>
      <c r="AZ112" s="44"/>
      <c r="BA112" s="44"/>
      <c r="BB112" s="44"/>
      <c r="BC112" s="44"/>
      <c r="BD112" s="44"/>
      <c r="BE112" s="44"/>
      <c r="BF112" s="44"/>
      <c r="BG112" s="44"/>
      <c r="BH112" s="21"/>
    </row>
    <row r="113" spans="2:60" ht="15.6" x14ac:dyDescent="0.3">
      <c r="B113" s="68" t="s">
        <v>113</v>
      </c>
      <c r="C113" s="78" t="s">
        <v>114</v>
      </c>
      <c r="D113" s="83" t="s">
        <v>241</v>
      </c>
      <c r="E113" s="55">
        <f>SUM(H113:BG113)</f>
        <v>0</v>
      </c>
      <c r="F113" s="116"/>
      <c r="H113" s="45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  <c r="AO113" s="46"/>
      <c r="AP113" s="46"/>
      <c r="AQ113" s="46"/>
      <c r="AR113" s="46"/>
      <c r="AS113" s="46"/>
      <c r="AT113" s="46"/>
      <c r="AU113" s="46"/>
      <c r="AV113" s="46"/>
      <c r="AW113" s="46"/>
      <c r="AX113" s="46"/>
      <c r="AY113" s="46"/>
      <c r="AZ113" s="46"/>
      <c r="BA113" s="46"/>
      <c r="BB113" s="46"/>
      <c r="BC113" s="46"/>
      <c r="BD113" s="46"/>
      <c r="BE113" s="46"/>
      <c r="BF113" s="46"/>
      <c r="BG113" s="46"/>
      <c r="BH113" s="21"/>
    </row>
    <row r="114" spans="2:60" ht="15.6" x14ac:dyDescent="0.3">
      <c r="B114" s="68"/>
      <c r="C114" s="78"/>
      <c r="D114" s="83" t="s">
        <v>278</v>
      </c>
      <c r="E114" s="56">
        <f>MAX(H114:BG114)</f>
        <v>0</v>
      </c>
      <c r="F114" s="116"/>
      <c r="H114" s="47"/>
      <c r="I114" s="48"/>
      <c r="J114" s="48"/>
      <c r="K114" s="48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 t="str">
        <f>IF(SUM(H111:BG111) = AD113, " 0 ", " ")</f>
        <v xml:space="preserve"> 0 </v>
      </c>
      <c r="AE114" s="44" t="str">
        <f>IF(AE113=0," ",IF(SUM($AD113:AE113)&gt;SUM($AD111:$BG111)," ",(1-(SUM($AD113:AD113)/SUM($AD111:$BG111)))))</f>
        <v xml:space="preserve"> </v>
      </c>
      <c r="AF114" s="44" t="str">
        <f>IF(AF113=0," ",IF(SUM($AD113:AF113)&gt;SUM($AD111:$BG111)," ",(2-(SUM($AD113:AE113)/SUM($AD111:$BG111)))))</f>
        <v xml:space="preserve"> </v>
      </c>
      <c r="AG114" s="44" t="str">
        <f>IF(AG113=0," ",IF(SUM($AD113:AG113)&gt;SUM($AD111:$BG111)," ",(3-(SUM($AD113:AF113)/SUM($AD111:$BG111)))))</f>
        <v xml:space="preserve"> </v>
      </c>
      <c r="AH114" s="44" t="str">
        <f>IF(AH113=0," ",IF(SUM($AD113:AH113)&gt;SUM($AD111:$BG111)," ",(4-(SUM($AD113:AG113)/SUM($AD111:$BG111)))))</f>
        <v xml:space="preserve"> </v>
      </c>
      <c r="AI114" s="44" t="str">
        <f>IF(AI113=0," ",IF(SUM($AD113:AI113)&gt;SUM($AD111:$BG111)," ",(5-(SUM($AD113:AH113)/SUM($AD111:$BG111)))))</f>
        <v xml:space="preserve"> </v>
      </c>
      <c r="AJ114" s="44" t="str">
        <f>IF(AJ113=0," ",IF(SUM($AD113:AJ113)&gt;SUM($AD111:$BG111)," ",(6-(SUM($AD113:AI113)/SUM($AD111:$BG111)))))</f>
        <v xml:space="preserve"> </v>
      </c>
      <c r="AK114" s="44" t="str">
        <f>IF(AK113=0," ",IF(SUM($AD113:AK113)&gt;SUM($AD111:$BG111)," ",(7-(SUM($AD113:AJ113)/SUM($AD111:$BG111)))))</f>
        <v xml:space="preserve"> </v>
      </c>
      <c r="AL114" s="44" t="str">
        <f>IF(AL113=0," ",IF(SUM($AD113:AL113)&gt;SUM($AD111:$BG111)," ",(8-(SUM($AD113:AK113)/SUM($AD111:$BG111)))))</f>
        <v xml:space="preserve"> </v>
      </c>
      <c r="AM114" s="44" t="str">
        <f>IF(AM113=0," ",IF(SUM($AD113:AM113)&gt;SUM($AD111:$BG111)," ",(9-(SUM($AD113:AL113)/SUM($AD111:$BG111)))))</f>
        <v xml:space="preserve"> </v>
      </c>
      <c r="AN114" s="44" t="str">
        <f>IF(AN113=0," ",IF(SUM($AD113:AN113)&gt;SUM($AD111:$BG111)," ",(10-(SUM($AD113:AM113)/SUM($AD111:$BG111)))))</f>
        <v xml:space="preserve"> </v>
      </c>
      <c r="AO114" s="44" t="str">
        <f>IF(AO113=0," ",IF(SUM($AD113:AO113)&gt;SUM($AD111:$BG111)," ",(11-(SUM($AD113:AN113)/SUM($AD111:$BG111)))))</f>
        <v xml:space="preserve"> </v>
      </c>
      <c r="AP114" s="44" t="str">
        <f>IF(AP113=0," ",IF(SUM($AD113:AP113)&gt;SUM($AD111:$BG111)," ",(12-(SUM($AD113:AO113)/SUM($AD111:$BG111)))))</f>
        <v xml:space="preserve"> </v>
      </c>
      <c r="AQ114" s="44" t="str">
        <f>IF(AQ113=0," ",IF(SUM($AD113:AQ113)&gt;SUM($AD111:$BG111)," ",(13-(SUM($AD113:AP113)/SUM($AD111:$BG111)))))</f>
        <v xml:space="preserve"> </v>
      </c>
      <c r="AR114" s="44" t="str">
        <f>IF(AR113=0," ",IF(SUM($AD113:AR113)&gt;SUM($AD111:$BG111)," ",(14-(SUM($AD113:AQ113)/SUM($AD111:$BG111)))))</f>
        <v xml:space="preserve"> </v>
      </c>
      <c r="AS114" s="44" t="str">
        <f>IF(AS113=0," ",IF(SUM($AD113:AS113)&gt;SUM($AD111:$BG111)," ",(15-(SUM($AD113:AR113)/SUM($AD111:$BG111)))))</f>
        <v xml:space="preserve"> </v>
      </c>
      <c r="AT114" s="44" t="str">
        <f>IF(AT113=0," ",IF(SUM($AD113:AT113)&gt;SUM($AD111:$BG111)," ",(16-(SUM($AD113:AS113)/SUM($AD111:$BG111)))))</f>
        <v xml:space="preserve"> </v>
      </c>
      <c r="AU114" s="44" t="str">
        <f>IF(AU113=0," ",IF(SUM($AD113:AU113)&gt;SUM($AD111:$BG111)," ",(17-(SUM($AD113:AT113)/SUM($AD111:$BG111)))))</f>
        <v xml:space="preserve"> </v>
      </c>
      <c r="AV114" s="44" t="str">
        <f>IF(AV113=0," ",IF(SUM($AD113:AV113)&gt;SUM($AD111:$BG111)," ",(18-(SUM($AD113:AU113)/SUM($AD111:$BG111)))))</f>
        <v xml:space="preserve"> </v>
      </c>
      <c r="AW114" s="44" t="str">
        <f>IF(AW113=0," ",IF(SUM($AD113:AW113)&gt;SUM($AD111:$BG111)," ",(19-(SUM($AD113:AV113)/SUM($AD111:$BG111)))))</f>
        <v xml:space="preserve"> </v>
      </c>
      <c r="AX114" s="44" t="str">
        <f>IF(AX113=0," ",IF(SUM($AD113:AX113)&gt;SUM($AD111:$BG111)," ",(20-(SUM($AD113:AW113)/SUM($AD111:$BG111)))))</f>
        <v xml:space="preserve"> </v>
      </c>
      <c r="AY114" s="44" t="str">
        <f>IF(AY113=0," ",IF(SUM($AD113:AY113)&gt;SUM($AD111:$BG111)," ",(21-(SUM($AD113:AX113)/SUM($AD111:$BG111)))))</f>
        <v xml:space="preserve"> </v>
      </c>
      <c r="AZ114" s="44" t="str">
        <f>IF(AZ113=0," ",IF(SUM($AD113:AZ113)&gt;SUM($AD111:$BG111)," ",(22-(SUM($AD113:AY113)/SUM($AD111:$BG111)))))</f>
        <v xml:space="preserve"> </v>
      </c>
      <c r="BA114" s="44" t="str">
        <f>IF(BA113=0," ",IF(SUM($AD113:BA113)&gt;SUM($AD111:$BG111)," ",(23-(SUM($AD113:AZ113)/SUM($AD111:$BG111)))))</f>
        <v xml:space="preserve"> </v>
      </c>
      <c r="BB114" s="44" t="str">
        <f>IF(BB113=0," ",IF(SUM($AD113:BB113)&gt;SUM($AD111:$BG111)," ",(243-(SUM($AD113:BA113)/SUM($AD111:$BG111)))))</f>
        <v xml:space="preserve"> </v>
      </c>
      <c r="BC114" s="44" t="str">
        <f>IF(BC113=0," ",IF(SUM($AD113:BC113)&gt;SUM($AD111:$BG111)," ",(25-(SUM($AD113:BB113)/SUM($AD111:$BG111)))))</f>
        <v xml:space="preserve"> </v>
      </c>
      <c r="BD114" s="44" t="str">
        <f>IF(BD113=0," ",IF(SUM($AD113:BD113)&gt;SUM($AD111:$BG111)," ",(26-(SUM($AD113:BC113)/SUM($AD111:$BG111)))))</f>
        <v xml:space="preserve"> </v>
      </c>
      <c r="BE114" s="44" t="str">
        <f>IF(BE113=0," ",IF(SUM($AD113:BE113)&gt;SUM($AD111:$BG111)," ",(27-(SUM($AD113:BD113)/SUM($AD111:$BG111)))))</f>
        <v xml:space="preserve"> </v>
      </c>
      <c r="BF114" s="44" t="str">
        <f>IF(BF113=0," ",IF(SUM($AD113:BF113)&gt;SUM($AD111:$BG111)," ",(28-(SUM($AD113:BE113)/SUM($AD111:$BG111)))))</f>
        <v xml:space="preserve"> </v>
      </c>
      <c r="BG114" s="44" t="str">
        <f>IF(BG113=0," ",IF(SUM($AD113:BG113)&gt;SUM($AD111:$BG111)," ",(29-(SUM($AD113:BF113)/SUM($AD111:$BG111)))))</f>
        <v xml:space="preserve"> </v>
      </c>
      <c r="BH114" s="21"/>
    </row>
    <row r="115" spans="2:60" ht="16.2" thickBot="1" x14ac:dyDescent="0.35">
      <c r="B115" s="70"/>
      <c r="C115" s="79"/>
      <c r="D115" s="84"/>
      <c r="E115" s="57"/>
      <c r="F115" s="117"/>
      <c r="H115" s="49" t="str">
        <f>IF(H111= " ", " ",IF(H113&gt;SUM($H111:$BG111), " N/A", IF(SUM($H113:$BG113)=SUM($H111:BG111), " ", IF(H113=SUM($H111:BG111), " ", "x"))))</f>
        <v xml:space="preserve"> </v>
      </c>
      <c r="I115" s="50" t="str">
        <f>IF(SUM($H113:I113) &gt; SUM($H111:I111),  " N/A", IF(SUM($H113:$BG113) = SUM($H111:$BH111),    " ",IF(I113 = SUM($H111:$BH111),  " ",   "x")))</f>
        <v xml:space="preserve"> </v>
      </c>
      <c r="J115" s="50" t="str">
        <f>IF(SUM($H113:J113) &gt; SUM($H111:J111),  " N/A", IF(SUM($H113:$BG113) = SUM($H111:$BH111),    " ",IF(J113 = SUM($H111:$BH111),  " ",   "x")))</f>
        <v xml:space="preserve"> </v>
      </c>
      <c r="K115" s="50" t="str">
        <f>IF(SUM($H113:K113) &gt; SUM($H111:K111),  " N/A", IF(SUM($H113:$BG113) = SUM($H111:$BH111),    " ",IF(K113 = SUM($H111:$BH111),  " ",   "x")))</f>
        <v xml:space="preserve"> </v>
      </c>
      <c r="L115" s="50" t="str">
        <f>IF(SUM($H113:L113) &gt; SUM($H111:L111),  " N/A", IF(SUM($H113:$BG113) = SUM($H91:$BH91),    " ",IF(L113 = SUM($H91:$BH91),  " ",   "x")))</f>
        <v xml:space="preserve"> </v>
      </c>
      <c r="M115" s="50" t="str">
        <f>IF(SUM($H113:M113) &gt; SUM($H111:M111),  " N/A", IF(SUM($H113:$BG113) = SUM($H91:$BH91),    " ",IF(M113 = SUM($H91:$BH91),  " ",   "x")))</f>
        <v xml:space="preserve"> </v>
      </c>
      <c r="N115" s="50" t="str">
        <f>IF(SUM($H113:N113) &gt; SUM($H111:N111),  " N/A", IF(SUM($H113:$BG113) = SUM($H91:$BH91),    " ",IF(N113 = SUM($H91:$BH91),  " ",   "x")))</f>
        <v xml:space="preserve"> </v>
      </c>
      <c r="O115" s="50" t="str">
        <f>IF(SUM($H113:O113) &gt; SUM($H111:O111),  " N/A", IF(SUM($H113:$BG113) = SUM($H91:$BH91),    " ",IF(O113 = SUM($H91:$BH91),  " ",   "x")))</f>
        <v xml:space="preserve"> </v>
      </c>
      <c r="P115" s="50" t="str">
        <f>IF(SUM($H113:P113) &gt; SUM($H111:P111),  " N/A", IF(SUM($H113:$BG113) = SUM($H91:$BH91),    " ",IF(P113 = SUM($H91:$BH91),  " ",   "x")))</f>
        <v xml:space="preserve"> </v>
      </c>
      <c r="Q115" s="50" t="str">
        <f>IF(SUM($H113:Q113) &gt; SUM($H111:Q111),  " N/A", IF(SUM($H113:$BG113) = SUM($H91:$BH91),    " ",IF(Q113 = SUM($H91:$BH91),  " ",   "x")))</f>
        <v xml:space="preserve"> </v>
      </c>
      <c r="R115" s="50" t="str">
        <f>IF(SUM($H113:R113) &gt; SUM($H111:R111),  " N/A", IF(SUM($H113:$BG113) = SUM($H91:$BH91),    " ",IF(R113 = SUM($H91:$BH91),  " ",   "x")))</f>
        <v xml:space="preserve"> </v>
      </c>
      <c r="S115" s="50" t="str">
        <f>IF(SUM($H113:S113) &gt; SUM($H111:S111),  " N/A", IF(SUM($H113:$BG113) = SUM($H91:$BH91),    " ",IF(S113 = SUM($H91:$BH91),  " ",   "x")))</f>
        <v xml:space="preserve"> </v>
      </c>
      <c r="T115" s="50" t="str">
        <f>IF(SUM($H113:T113) &gt; SUM($H111:T111),  " N/A", IF(SUM($H113:$BG113) = SUM($H91:$BH91),    " ",IF(T113 = SUM($H91:$BH91),  " ",   "x")))</f>
        <v xml:space="preserve"> </v>
      </c>
      <c r="U115" s="50" t="str">
        <f>IF(SUM($H113:U113) &gt; SUM($H111:U111),  " N/A", IF(SUM($H113:$BG113) = SUM($H91:$BH91),    " ",IF(U113 = SUM($H91:$BH91),  " ",   "x")))</f>
        <v xml:space="preserve"> </v>
      </c>
      <c r="V115" s="50" t="str">
        <f>IF(SUM($H113:V113) &gt; SUM($H111:V111),  " N/A", IF(SUM($H113:$BG113) = SUM($H91:$BH91),    " ",IF(V113 = SUM($H91:$BH91),  " ",   "x")))</f>
        <v xml:space="preserve"> </v>
      </c>
      <c r="W115" s="50" t="str">
        <f>IF(SUM($H113:W113) &gt; SUM($H111:W111),  " N/A", IF(SUM($H113:$BG113) = SUM($H91:$BH91),    " ",IF(W113 = SUM($H91:$BH91),  " ",   "x")))</f>
        <v xml:space="preserve"> </v>
      </c>
      <c r="X115" s="50" t="str">
        <f>IF(SUM($H113:X113) &gt; SUM($H111:X111),  " N/A", IF(SUM($H113:$BG113) = SUM($H91:$BH91),    " ",IF(X113 = SUM($H91:$BH91),  " ",   "x")))</f>
        <v xml:space="preserve"> </v>
      </c>
      <c r="Y115" s="50" t="str">
        <f>IF(SUM($H113:Y113) &gt; SUM($H111:Y111),  " N/A", IF(SUM($H113:$BG113) = SUM($H91:$BH91),    " ",IF(Y113 = SUM($H91:$BH91),  " ",   "x")))</f>
        <v xml:space="preserve"> </v>
      </c>
      <c r="Z115" s="50" t="str">
        <f>IF(SUM($H113:Z113) &gt; SUM($H111:Z111),  " N/A", IF(SUM($H113:$BG113) = SUM($H91:$BH91),    " ",IF(Z113 = SUM($H91:$BH91),  " ",   "x")))</f>
        <v xml:space="preserve"> </v>
      </c>
      <c r="AA115" s="50" t="str">
        <f>IF(SUM($H113:AA113) &gt; SUM($H111:AA111),  " N/A", IF(SUM($H113:$BG113) = SUM($H91:$BH91),    " ",IF(AA113 = SUM($H91:$BH91),  " ",   "x")))</f>
        <v xml:space="preserve"> </v>
      </c>
      <c r="AB115" s="50" t="str">
        <f>IF(SUM($H113:AB113) &gt; SUM($H111:AB111),  " N/A", IF(SUM($H113:$BG113) = SUM($H91:$BH91),    " ",IF(AB113 = SUM($H91:$BH91),  " ",   "x")))</f>
        <v xml:space="preserve"> </v>
      </c>
      <c r="AC115" s="50" t="str">
        <f>IF(SUM($H113:AC113) &gt; SUM($H111:AC111),  " N/A", IF(SUM($H113:$BG113) = SUM($H91:$BH91),    " ",IF(AC113 = SUM($H91:$BH91),  " ",   "x")))</f>
        <v xml:space="preserve"> </v>
      </c>
      <c r="AD115" s="50" t="str">
        <f>IF(SUM($H113:AD113) &gt; SUM($H111:AD111),  " N/A", IF(SUM($H113:$BG113) = SUM($H91:$BH91),    " ",IF(AD113 = SUM($H91:$BH91),  " ",   "x")))</f>
        <v xml:space="preserve"> </v>
      </c>
      <c r="AE115" s="50" t="str">
        <f>IF(SUM($H113:AE113) &gt; SUM($H111:AE111),  " N/A", IF(SUM($H113:$BG113) = SUM($H91:$BH91),    " ",IF(AE113 = SUM($H91:$BH91),  " ",   "x")))</f>
        <v xml:space="preserve"> </v>
      </c>
      <c r="AF115" s="50" t="str">
        <f>IF(SUM($H113:AF113) &gt; SUM($H111:AF111),  " N/A", IF(SUM($H113:$BG113) = SUM($H91:$BH91),    " ",IF(AF113 = SUM($H91:$BH91),  " ",   "x")))</f>
        <v xml:space="preserve"> </v>
      </c>
      <c r="AG115" s="50" t="str">
        <f>IF(SUM($H113:AG113) &gt; SUM($H111:AG111),  " N/A", IF(SUM($H113:$BG113) = SUM($H91:$BH91),    " ",IF(AG113 = SUM($H91:$BH91),  " ",   "x")))</f>
        <v xml:space="preserve"> </v>
      </c>
      <c r="AH115" s="50" t="str">
        <f>IF(SUM($H113:AH113) &gt; SUM($H111:AH111),  " N/A", IF(SUM($H113:$BG113) = SUM($H91:$BH91),    " ",IF(AH113 = SUM($H91:$BH91),  " ",   "x")))</f>
        <v xml:space="preserve"> </v>
      </c>
      <c r="AI115" s="50" t="str">
        <f>IF(SUM($H113:AI113) &gt; SUM($H111:AI111),  " N/A", IF(SUM($H113:$BG113) = SUM($H91:$BH91),    " ",IF(AI113 = SUM($H91:$BH91),  " ",   "x")))</f>
        <v xml:space="preserve"> </v>
      </c>
      <c r="AJ115" s="50" t="str">
        <f>IF(SUM($H113:AJ113) &gt; SUM($H111:AJ111),  " N/A", IF(SUM($H113:$BG113) = SUM($H91:$BH91),    " ",IF(AJ113 = SUM($H91:$BH91),  " ",   "x")))</f>
        <v xml:space="preserve"> </v>
      </c>
      <c r="AK115" s="50" t="str">
        <f>IF(SUM($H113:AK113) &gt; SUM($H111:AK111),  " N/A", IF(SUM($H113:$BG113) = SUM($H91:$BH91),    " ",IF(AK113 = SUM($H91:$BH91),  " ",   "x")))</f>
        <v xml:space="preserve"> </v>
      </c>
      <c r="AL115" s="50" t="str">
        <f>IF(SUM($H113:AL113) &gt; SUM($H111:AL111),  " N/A", IF(SUM($H113:$BG113) = SUM($H91:$BH91),    " ",IF(AL113 = SUM($H91:$BH91),  " ",   "x")))</f>
        <v xml:space="preserve"> </v>
      </c>
      <c r="AM115" s="50" t="str">
        <f>IF(SUM($H113:AM113) &gt; SUM($H111:AM111),  " N/A", IF(SUM($H113:$BG113) = SUM($H91:$BH91),    " ",IF(AM113 = SUM($H91:$BH91),  " ",   "x")))</f>
        <v xml:space="preserve"> </v>
      </c>
      <c r="AN115" s="50" t="str">
        <f>IF(SUM($H113:AN113) &gt; SUM($H111:AN111),  " N/A", IF(SUM($H113:$BG113) = SUM($H91:$BH91),    " ",IF(AN113 = SUM($H91:$BH91),  " ",   "x")))</f>
        <v xml:space="preserve"> </v>
      </c>
      <c r="AO115" s="50" t="str">
        <f>IF(SUM($H113:AO113) &gt; SUM($H111:AO111),  " N/A", IF(SUM($H113:$BG113) = SUM($H91:$BH91),    " ",IF(AO113 = SUM($H91:$BH91),  " ",   "x")))</f>
        <v xml:space="preserve"> </v>
      </c>
      <c r="AP115" s="50" t="str">
        <f>IF(SUM($H113:AP113) &gt; SUM($H111:AP111),  " N/A", IF(SUM($H113:$BG113) = SUM($H91:$BH91),    " ",IF(AP113 = SUM($H91:$BH91),  " ",   "x")))</f>
        <v xml:space="preserve"> </v>
      </c>
      <c r="AQ115" s="50" t="str">
        <f>IF(SUM($H113:AQ113) &gt; SUM($H111:AQ111),  " N/A", IF(SUM($H113:$BG113) = SUM($H91:$BH91),    " ",IF(AQ113 = SUM($H91:$BH91),  " ",   "x")))</f>
        <v xml:space="preserve"> </v>
      </c>
      <c r="AR115" s="50" t="str">
        <f>IF(SUM($H113:AR113) &gt; SUM($H111:AR111),  " N/A", IF(SUM($H113:$BG113) = SUM($H91:$BH91),    " ",IF(AR113 = SUM($H91:$BH91),  " ",   "x")))</f>
        <v xml:space="preserve"> </v>
      </c>
      <c r="AS115" s="50" t="str">
        <f>IF(SUM($H113:AS113) &gt; SUM($H111:AS111),  " N/A", IF(SUM($H113:$BG113) = SUM($H91:$BH91),    " ",IF(AS113 = SUM($H91:$BH91),  " ",   "x")))</f>
        <v xml:space="preserve"> </v>
      </c>
      <c r="AT115" s="50" t="str">
        <f>IF(SUM($H113:AT113) &gt; SUM($H111:AT111),  " N/A", IF(SUM($H113:$BG113) = SUM($H91:$BH91),    " ",IF(AT113 = SUM($H91:$BH91),  " ",   "x")))</f>
        <v xml:space="preserve"> </v>
      </c>
      <c r="AU115" s="50" t="str">
        <f>IF(SUM($H113:AU113) &gt; SUM($H111:AU111),  " N/A", IF(SUM($H113:$BG113) = SUM($H91:$BH91),    " ",IF(AU113 = SUM($H91:$BH91),  " ",   "x")))</f>
        <v xml:space="preserve"> </v>
      </c>
      <c r="AV115" s="50" t="str">
        <f>IF(SUM($H113:AV113) &gt; SUM($H111:AV111),  " N/A", IF(SUM($H113:$BG113) = SUM($H91:$BH91),    " ",IF(AV113 = SUM($H91:$BH91),  " ",   "x")))</f>
        <v xml:space="preserve"> </v>
      </c>
      <c r="AW115" s="50" t="str">
        <f>IF(SUM($H113:AW113) &gt; SUM($H111:AW111),  " N/A", IF(SUM($H113:$BG113) = SUM($H91:$BH91),    " ",IF(AW113 = SUM($H91:$BH91),  " ",   "x")))</f>
        <v xml:space="preserve"> </v>
      </c>
      <c r="AX115" s="50" t="str">
        <f>IF(SUM($H113:AX113) &gt; SUM($H111:AX111),  " N/A", IF(SUM($H113:$BG113) = SUM($H91:$BH91),    " ",IF(AX113 = SUM($H91:$BH91),  " ",   "x")))</f>
        <v xml:space="preserve"> </v>
      </c>
      <c r="AY115" s="50" t="str">
        <f>IF(SUM($H113:AY113) &gt; SUM($H111:AY111),  " N/A", IF(SUM($H113:$BG113) = SUM($H91:$BH91),    " ",IF(AY113 = SUM($H91:$BH91),  " ",   "x")))</f>
        <v xml:space="preserve"> </v>
      </c>
      <c r="AZ115" s="50" t="str">
        <f>IF(SUM($H113:AZ113) &gt; SUM($H111:AZ111),  " N/A", IF(SUM($H113:$BG113) = SUM($H91:$BH91),    " ",IF(AZ113 = SUM($H91:$BH91),  " ",   "x")))</f>
        <v xml:space="preserve"> </v>
      </c>
      <c r="BA115" s="50" t="str">
        <f>IF(SUM($H113:BA113) &gt; SUM($H111:BA111),  " N/A", IF(SUM($H113:$BG113) = SUM($H91:$BH91),    " ",IF(BA113 = SUM($H91:$BH91),  " ",   "x")))</f>
        <v xml:space="preserve"> </v>
      </c>
      <c r="BB115" s="50" t="str">
        <f>IF(SUM($H113:BB113) &gt; SUM($H111:BB111),  " N/A", IF(SUM($H113:$BG113) = SUM($H91:$BH91),    " ",IF(BB113 = SUM($H91:$BH91),  " ",   "x")))</f>
        <v xml:space="preserve"> </v>
      </c>
      <c r="BC115" s="50" t="str">
        <f>IF(SUM($H113:BC113) &gt; SUM($H111:BC111),  " N/A", IF(SUM($H113:$BG113) = SUM($H91:$BH91),    " ",IF(BC113 = SUM($H91:$BH91),  " ",   "x")))</f>
        <v xml:space="preserve"> </v>
      </c>
      <c r="BD115" s="50" t="str">
        <f>IF(SUM($H113:BD113) &gt; SUM($H111:BD111),  " N/A", IF(SUM($H113:$BG113) = SUM($H91:$BH91),    " ",IF(BD113 = SUM($H91:$BH91),  " ",   "x")))</f>
        <v xml:space="preserve"> </v>
      </c>
      <c r="BE115" s="50" t="str">
        <f>IF(SUM($H113:BE113) &gt; SUM($H111:BE111),  " N/A", IF(SUM($H113:$BG113) = SUM($H91:$BH91),    " ",IF(BE113 = SUM($H91:$BH91),  " ",   "x")))</f>
        <v xml:space="preserve"> </v>
      </c>
      <c r="BF115" s="50" t="str">
        <f>IF(SUM($H113:BF113) &gt; SUM($H111:BF111),  " N/A", IF(SUM($H113:$BG113) = SUM($H91:$BH91),    " ",IF(BF113 = SUM($H91:$BH91),  " ",   "x")))</f>
        <v xml:space="preserve"> </v>
      </c>
      <c r="BG115" s="50" t="str">
        <f>IF(SUM($H113:BG113) &gt; SUM($H111:BG111),  " N/A", IF(SUM($H113:$BG113) = SUM($H91:$BH91),    " ",IF(BG113 = SUM($H91:$BH91),  " ",   "x")))</f>
        <v xml:space="preserve"> </v>
      </c>
      <c r="BH115" s="21"/>
    </row>
    <row r="116" spans="2:60" ht="15.6" x14ac:dyDescent="0.3">
      <c r="B116" s="71"/>
      <c r="C116" s="77"/>
      <c r="D116" s="82" t="s">
        <v>249</v>
      </c>
      <c r="E116" s="54">
        <f>SUM(H116:BG116)</f>
        <v>16</v>
      </c>
      <c r="F116" s="115">
        <f>Gant_24!$E116-E118</f>
        <v>16</v>
      </c>
      <c r="H116" s="41"/>
      <c r="I116" s="42"/>
      <c r="J116" s="42"/>
      <c r="K116" s="42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  <c r="AB116" s="51"/>
      <c r="AC116" s="51">
        <v>16</v>
      </c>
      <c r="AD116" s="51"/>
      <c r="AE116" s="51"/>
      <c r="AF116" s="51"/>
      <c r="AG116" s="51"/>
      <c r="AH116" s="51"/>
      <c r="AI116" s="51"/>
      <c r="AJ116" s="51"/>
      <c r="AK116" s="51"/>
      <c r="AL116" s="51"/>
      <c r="AM116" s="51"/>
      <c r="AN116" s="51"/>
      <c r="AO116" s="51"/>
      <c r="AP116" s="51"/>
      <c r="AQ116" s="51"/>
      <c r="AR116" s="51"/>
      <c r="AS116" s="51"/>
      <c r="AT116" s="51"/>
      <c r="AU116" s="51"/>
      <c r="AV116" s="51"/>
      <c r="AW116" s="51"/>
      <c r="AX116" s="51"/>
      <c r="AY116" s="51"/>
      <c r="AZ116" s="51"/>
      <c r="BA116" s="51"/>
      <c r="BB116" s="51"/>
      <c r="BC116" s="51"/>
      <c r="BD116" s="51"/>
      <c r="BE116" s="51"/>
      <c r="BF116" s="51"/>
      <c r="BG116" s="51"/>
      <c r="BH116" s="21"/>
    </row>
    <row r="117" spans="2:60" ht="15.6" x14ac:dyDescent="0.3">
      <c r="B117" s="68"/>
      <c r="C117" s="78"/>
      <c r="D117" s="83" t="s">
        <v>261</v>
      </c>
      <c r="E117" s="55">
        <f>SUM(H117:BG117)</f>
        <v>0</v>
      </c>
      <c r="F117" s="116"/>
      <c r="H117" s="43"/>
      <c r="I117" s="44"/>
      <c r="J117" s="44"/>
      <c r="K117" s="44"/>
      <c r="L117" s="50"/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0"/>
      <c r="Y117" s="50"/>
      <c r="Z117" s="50"/>
      <c r="AA117" s="50"/>
      <c r="AB117" s="50"/>
      <c r="AC117" s="50"/>
      <c r="AD117" s="50"/>
      <c r="AE117" s="50"/>
      <c r="AF117" s="50"/>
      <c r="AG117" s="50"/>
      <c r="AH117" s="50"/>
      <c r="AI117" s="50"/>
      <c r="AJ117" s="50"/>
      <c r="AK117" s="50"/>
      <c r="AL117" s="50"/>
      <c r="AM117" s="50"/>
      <c r="AN117" s="50"/>
      <c r="AO117" s="50"/>
      <c r="AP117" s="50"/>
      <c r="AQ117" s="50"/>
      <c r="AR117" s="50"/>
      <c r="AS117" s="50"/>
      <c r="AT117" s="50"/>
      <c r="AU117" s="50"/>
      <c r="AV117" s="50"/>
      <c r="AW117" s="50"/>
      <c r="AX117" s="50"/>
      <c r="AY117" s="50"/>
      <c r="AZ117" s="50"/>
      <c r="BA117" s="50"/>
      <c r="BB117" s="50"/>
      <c r="BC117" s="50"/>
      <c r="BD117" s="50"/>
      <c r="BE117" s="50"/>
      <c r="BF117" s="50"/>
      <c r="BG117" s="50"/>
      <c r="BH117" s="21"/>
    </row>
    <row r="118" spans="2:60" ht="15.6" x14ac:dyDescent="0.3">
      <c r="B118" s="68" t="s">
        <v>116</v>
      </c>
      <c r="C118" s="78" t="s">
        <v>117</v>
      </c>
      <c r="D118" s="83" t="s">
        <v>241</v>
      </c>
      <c r="E118" s="55">
        <f>SUM(H118:BG118)</f>
        <v>0</v>
      </c>
      <c r="F118" s="116"/>
      <c r="H118" s="45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  <c r="AO118" s="46"/>
      <c r="AP118" s="46"/>
      <c r="AQ118" s="46"/>
      <c r="AR118" s="46"/>
      <c r="AS118" s="46"/>
      <c r="AT118" s="46"/>
      <c r="AU118" s="46"/>
      <c r="AV118" s="46"/>
      <c r="AW118" s="46"/>
      <c r="AX118" s="46"/>
      <c r="AY118" s="46"/>
      <c r="AZ118" s="46"/>
      <c r="BA118" s="46"/>
      <c r="BB118" s="46"/>
      <c r="BC118" s="46"/>
      <c r="BD118" s="46"/>
      <c r="BE118" s="46"/>
      <c r="BF118" s="46"/>
      <c r="BG118" s="46"/>
      <c r="BH118" s="21"/>
    </row>
    <row r="119" spans="2:60" ht="15.6" x14ac:dyDescent="0.3">
      <c r="B119" s="68"/>
      <c r="C119" s="78"/>
      <c r="D119" s="83" t="s">
        <v>278</v>
      </c>
      <c r="E119" s="56">
        <f ca="1">MAX(H119:BG119)</f>
        <v>0</v>
      </c>
      <c r="F119" s="116"/>
      <c r="H119" s="47"/>
      <c r="I119" s="48"/>
      <c r="J119" s="48"/>
      <c r="K119" s="48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50"/>
      <c r="Y119" s="50"/>
      <c r="Z119" s="50"/>
      <c r="AA119" s="44"/>
      <c r="AB119" s="44"/>
      <c r="AC119" s="44" t="str">
        <f>IF(SUM(H116:BG116) = AC118, " ", " ")</f>
        <v xml:space="preserve"> </v>
      </c>
      <c r="AD119" s="44" t="str">
        <f ca="1">IF(AD9&gt;WEEKNUM(TODAY())," ", IF(AND(AD10="x",SUM($AC118:AD118)&gt;$AC116),H9-(SUM($AC118:AC118)/SUM($AC116:$BG116)),IF(SUM($AC118:AD118)&gt;=$AC116," ",H9-(SUM($AC118:AC118)/(SUM($AC116:$BG116))))))</f>
        <v xml:space="preserve"> </v>
      </c>
      <c r="AE119" s="44" t="str">
        <f ca="1">IF(AE9&gt;WEEKNUM(TODAY())," ", IF(AND(AE10="x",SUM($AC118:AE118)&gt;$AC116),I9-(SUM($AC118:AD118)/SUM($AC116:$BG116)),IF(SUM($AC118:AE118)&gt;=$AC116," ",I9-(SUM($AC118:AD118)/(SUM($AC116:$BG116))))))</f>
        <v xml:space="preserve"> </v>
      </c>
      <c r="AF119" s="44" t="str">
        <f ca="1">IF(AF9&gt;WEEKNUM(TODAY())," ", IF(AND(AF10="x",SUM($AC118:AF118)&gt;$AC116),J9-(SUM($AC118:AE118)/SUM($AC116:$BG116)),IF(SUM($AC118:AF118)&gt;=$AC116," ",J9-(SUM($AC118:AE118)/(SUM($AC116:$BG116))))))</f>
        <v xml:space="preserve"> </v>
      </c>
      <c r="AG119" s="44" t="str">
        <f ca="1">IF(AG9&gt;WEEKNUM(TODAY())," ", IF(AND(AG10="x",SUM($AC118:AG118)&gt;$AC116),K9-(SUM($AC118:AF118)/SUM($AC116:$BG116)),IF(SUM($AC118:AG118)&gt;=$AC116," ",K9-(SUM($AC118:AF118)/(SUM($AC116:$BG116))))))</f>
        <v xml:space="preserve"> </v>
      </c>
      <c r="AH119" s="44" t="str">
        <f ca="1">IF(AH9&gt;WEEKNUM(TODAY())," ", IF(AND(AH10="x",SUM($AC118:AH118)&gt;$AC116),L9-(SUM($AC118:AG118)/SUM($AC116:$BG116)),IF(SUM($AC118:AH118)&gt;=$AC116," ",L9-(SUM($AC118:AG118)/(SUM($AC116:$BG116))))))</f>
        <v xml:space="preserve"> </v>
      </c>
      <c r="AI119" s="44" t="str">
        <f ca="1">IF(AI9&gt;WEEKNUM(TODAY())," ", IF(AND(AI10="x",SUM($AC118:AI118)&gt;$AC116),M9-(SUM($AC118:AH118)/SUM($AC116:$BG116)),IF(SUM($AC118:AI118)&gt;=$AC116," ",M9-(SUM($AC118:AH118)/(SUM($AC116:$BG116))))))</f>
        <v xml:space="preserve"> </v>
      </c>
      <c r="AJ119" s="44" t="str">
        <f ca="1">IF(AJ9&gt;WEEKNUM(TODAY())," ", IF(AND(AJ10="x",SUM($AC118:AJ118)&gt;$AC116),N9-(SUM($AC118:AI118)/SUM($AC116:$BG116)),IF(SUM($AC118:AJ118)&gt;=$AC116," ",N9-(SUM($AC118:AI118)/(SUM($AC116:$BG116))))))</f>
        <v xml:space="preserve"> </v>
      </c>
      <c r="AK119" s="44" t="str">
        <f ca="1">IF(AK9&gt;WEEKNUM(TODAY())," ", IF(AND(AK10="x",SUM($AC118:AK118)&gt;$AC116),O9-(SUM($AC118:AJ118)/SUM($AC116:$BG116)),IF(SUM($AC118:AK118)&gt;=$AC116," ",O9-(SUM($AC118:AJ118)/(SUM($AC116:$BG116))))))</f>
        <v xml:space="preserve"> </v>
      </c>
      <c r="AL119" s="44" t="str">
        <f ca="1">IF(AL9&gt;WEEKNUM(TODAY())," ", IF(AND(AL10="x",SUM($AC118:AL118)&gt;$AC116),P9-(SUM($AC118:AK118)/SUM($AC116:$BG116)),IF(SUM($AC118:AL118)&gt;=$AC116," ",P9-(SUM($AC118:AK118)/(SUM($AC116:$BG116))))))</f>
        <v xml:space="preserve"> </v>
      </c>
      <c r="AM119" s="44" t="str">
        <f ca="1">IF(AM9&gt;WEEKNUM(TODAY())," ", IF(AND(AM10="x",SUM($AC118:AM118)&gt;$AC116),Q9-(SUM($AC118:AL118)/SUM($AC116:$BG116)),IF(SUM($AC118:AM118)&gt;=$AC116," ",Q9-(SUM($AC118:AL118)/(SUM($AC116:$BG116))))))</f>
        <v xml:space="preserve"> </v>
      </c>
      <c r="AN119" s="44" t="str">
        <f ca="1">IF(AN9&gt;WEEKNUM(TODAY())," ", IF(AND(AN10="x",SUM($AC118:AN118)&gt;$AC116),R9-(SUM($AC118:AM118)/SUM($AC116:$BG116)),IF(SUM($AC118:AN118)&gt;=$AC116," ",R9-(SUM($AC118:AM118)/(SUM($AC116:$BG116))))))</f>
        <v xml:space="preserve"> </v>
      </c>
      <c r="AO119" s="44" t="str">
        <f ca="1">IF(AO9&gt;WEEKNUM(TODAY())," ", IF(AND(AO10="x",SUM($AC118:AO118)&gt;$AC116),S9-(SUM($AC118:AN118)/SUM($AC116:$BG116)),IF(SUM($AC118:AO118)&gt;=$AC116," ",S9-(SUM($AC118:AN118)/(SUM($AC116:$BG116))))))</f>
        <v xml:space="preserve"> </v>
      </c>
      <c r="AP119" s="44" t="str">
        <f ca="1">IF(AP9&gt;WEEKNUM(TODAY())," ", IF(AND(AP10="x",SUM($AC118:AP118)&gt;$AC116),T9-(SUM($AC118:AO118)/SUM($AC116:$BG116)),IF(SUM($AC118:AP118)&gt;=$AC116," ",T9-(SUM($AC118:AO118)/(SUM($AC116:$BG116))))))</f>
        <v xml:space="preserve"> </v>
      </c>
      <c r="AQ119" s="44" t="str">
        <f ca="1">IF(AQ9&gt;WEEKNUM(TODAY())," ", IF(AND(AQ10="x",SUM($AC118:AQ118)&gt;$AC116),U9-(SUM($AC118:AP118)/SUM($AC116:$BG116)),IF(SUM($AC118:AQ118)&gt;=$AC116," ",U9-(SUM($AC118:AP118)/(SUM($AC116:$BG116))))))</f>
        <v xml:space="preserve"> </v>
      </c>
      <c r="AR119" s="44" t="str">
        <f ca="1">IF(AR9&gt;WEEKNUM(TODAY())," ", IF(AND(AR10="x",SUM($AC118:AR118)&gt;$AC116),V9-(SUM($AC118:AQ118)/SUM($AC116:$BG116)),IF(SUM($AC118:AR118)&gt;=$AC116," ",V9-(SUM($AC118:AQ118)/(SUM($AC116:$BG116))))))</f>
        <v xml:space="preserve"> </v>
      </c>
      <c r="AS119" s="44" t="str">
        <f ca="1">IF(AS9&gt;WEEKNUM(TODAY())," ", IF(AND(AS10="x",SUM($AC118:AS118)&gt;$AC116),W9-(SUM($AC118:AR118)/SUM($AC116:$BG116)),IF(SUM($AC118:AS118)&gt;=$AC116," ",W9-(SUM($AC118:AR118)/(SUM($AC116:$BG116))))))</f>
        <v xml:space="preserve"> </v>
      </c>
      <c r="AT119" s="44" t="str">
        <f ca="1">IF(AT9&gt;WEEKNUM(TODAY())," ", IF(AND(AT10="x",SUM($AC118:AT118)&gt;$AC116),X9-(SUM($AC118:AS118)/SUM($AC116:$BG116)),IF(SUM($AC118:AT118)&gt;=$AC116," ",X9-(SUM($AC118:AS118)/(SUM($AC116:$BG116))))))</f>
        <v xml:space="preserve"> </v>
      </c>
      <c r="AU119" s="44" t="str">
        <f ca="1">IF(AU9&gt;WEEKNUM(TODAY())," ", IF(AND(AU10="x",SUM($AC118:AU118)&gt;$AC116),Y9-(SUM($AC118:AT118)/SUM($AC116:$BG116)),IF(SUM($AC118:AU118)&gt;=$AC116," ",Y9-(SUM($AC118:AT118)/(SUM($AC116:$BG116))))))</f>
        <v xml:space="preserve"> </v>
      </c>
      <c r="AV119" s="44" t="str">
        <f ca="1">IF(AV9&gt;WEEKNUM(TODAY())," ", IF(AND(AV10="x",SUM($AC118:AV118)&gt;$AC116),Z9-(SUM($AC118:AU118)/SUM($AC116:$BG116)),IF(SUM($AC118:AV118)&gt;=$AC116," ",Z9-(SUM($AC118:AU118)/(SUM($AC116:$BG116))))))</f>
        <v xml:space="preserve"> </v>
      </c>
      <c r="AW119" s="44" t="str">
        <f ca="1">IF(AW9&gt;WEEKNUM(TODAY())," ", IF(AND(AW10="x",SUM($AC118:AW118)&gt;$AC116),AA9-(SUM($AC118:AV118)/SUM($AC116:$BG116)),IF(SUM($AC118:AW118)&gt;=$AC116," ",AA9-(SUM($AC118:AV118)/(SUM($AC116:$BG116))))))</f>
        <v xml:space="preserve"> </v>
      </c>
      <c r="AX119" s="44" t="str">
        <f ca="1">IF(AX9&gt;WEEKNUM(TODAY())," ", IF(AND(AX10="x",SUM($AC118:AX118)&gt;$AC116),AB9-(SUM($AC118:AW118)/SUM($AC116:$BG116)),IF(SUM($AC118:AX118)&gt;=$AC116," ",AB9-(SUM($AC118:AW118)/(SUM($AC116:$BG116))))))</f>
        <v xml:space="preserve"> </v>
      </c>
      <c r="AY119" s="44" t="str">
        <f ca="1">IF(AY9&gt;WEEKNUM(TODAY())," ", IF(AND(AY10="x",SUM($AC118:AY118)&gt;$AC116),AC9-(SUM($AC118:AX118)/SUM($AC116:$BG116)),IF(SUM($AC118:AY118)&gt;=$AC116," ",AC9-(SUM($AC118:AX118)/(SUM($AC116:$BG116))))))</f>
        <v xml:space="preserve"> </v>
      </c>
      <c r="AZ119" s="44" t="str">
        <f ca="1">IF(AZ9&gt;WEEKNUM(TODAY())," ", IF(AND(AZ10="x",SUM($AC118:AZ118)&gt;$AC116),AD9-(SUM($AC118:AY118)/SUM($AC116:$BG116)),IF(SUM($AC118:AZ118)&gt;=$AC116," ",AD9-(SUM($AC118:AY118)/(SUM($AC116:$BG116))))))</f>
        <v xml:space="preserve"> </v>
      </c>
      <c r="BA119" s="44" t="str">
        <f ca="1">IF(BA9&gt;WEEKNUM(TODAY())," ", IF(AND(BA10="x",SUM($AC118:BA118)&gt;$AC116),AE9-(SUM($AC118:AZ118)/SUM($AC116:$BG116)),IF(SUM($AC118:BA118)&gt;=$AC116," ",AE9-(SUM($AC118:AZ118)/(SUM($AC116:$BG116))))))</f>
        <v xml:space="preserve"> </v>
      </c>
      <c r="BB119" s="44" t="str">
        <f ca="1">IF(BB9&gt;WEEKNUM(TODAY())," ", IF(AND(BB10="x",SUM($AC118:BB118)&gt;$AC116),AF9-(SUM($AC118:BA118)/SUM($AC116:$BG116)),IF(SUM($AC118:BB118)&gt;=$AC116," ",AF9-(SUM($AC118:BA118)/(SUM($AC116:$BG116))))))</f>
        <v xml:space="preserve"> </v>
      </c>
      <c r="BC119" s="44" t="str">
        <f ca="1">IF(BC9&gt;WEEKNUM(TODAY())," ", IF(AND(BC10="x",SUM($AC118:BC118)&gt;$AC116),AG9-(SUM($AC118:BB118)/SUM($AC116:$BG116)),IF(SUM($AC118:BC118)&gt;=$AC116," ",AG9-(SUM($AC118:BB118)/(SUM($AC116:$BG116))))))</f>
        <v xml:space="preserve"> </v>
      </c>
      <c r="BD119" s="44" t="str">
        <f ca="1">IF(BD9&gt;WEEKNUM(TODAY())," ", IF(AND(BD10="x",SUM($AC118:BD118)&gt;$AC116),AH9-(SUM($AC118:BC118)/SUM($AC116:$BG116)),IF(SUM($AC118:BD118)&gt;=$AC116," ",AH9-(SUM($AC118:BC118)/(SUM($AC116:$BG116))))))</f>
        <v xml:space="preserve"> </v>
      </c>
      <c r="BE119" s="44" t="str">
        <f ca="1">IF(BE9&gt;WEEKNUM(TODAY())," ", IF(AND(BE10="x",SUM($AC118:BE118)&gt;$AC116),AI9-(SUM($AC118:BD118)/SUM($AC116:$BG116)),IF(SUM($AC118:BE118)&gt;=$AC116," ",AI9-(SUM($AC118:BD118)/(SUM($AC116:$BG116))))))</f>
        <v xml:space="preserve"> </v>
      </c>
      <c r="BF119" s="44" t="str">
        <f ca="1">IF(BF9&gt;WEEKNUM(TODAY())," ", IF(AND(BF10="x",SUM($AC118:BF118)&gt;$AC116),AJ9-(SUM($AC118:BE118)/SUM($AC116:$BG116)),IF(SUM($AC118:BF118)&gt;=$AC116," ",AJ9-(SUM($AC118:BE118)/(SUM($AC116:$BG116))))))</f>
        <v xml:space="preserve"> </v>
      </c>
      <c r="BG119" s="44" t="str">
        <f ca="1">IF(BG9&gt;WEEKNUM(TODAY())," ", IF(AND(BG10="x",SUM($AC118:BG118)&gt;$AC116),AK9-(SUM($AC118:BF118)/SUM($AC116:$BG116)),IF(SUM($AC118:BG118)&gt;=$AC116," ",AK9-(SUM($AC118:BF118)/(SUM($AC116:$BG116))))))</f>
        <v xml:space="preserve"> </v>
      </c>
      <c r="BH119" s="21"/>
    </row>
    <row r="120" spans="2:60" ht="16.2" thickBot="1" x14ac:dyDescent="0.35">
      <c r="B120" s="70"/>
      <c r="C120" s="79"/>
      <c r="D120" s="84"/>
      <c r="E120" s="57"/>
      <c r="F120" s="117"/>
      <c r="H120" s="49" t="str">
        <f>IF(H116= " ", " ",IF(H118&gt;SUM($H116:$BG116), " N/A", IF(SUM($H118:$BG118)=SUM($H116:BG116), " ", IF(H118=SUM($H116:BG116), " ", "x"))))</f>
        <v>x</v>
      </c>
      <c r="I120" s="50" t="str">
        <f>IF(SUM($H118:I118) &gt; SUM($H116:I116),  " N/A", IF(SUM($H118:$BG118) = SUM($H116:$BH116),    " ",IF(I118 = SUM($H116:$BH116),  " ",   "x")))</f>
        <v>x</v>
      </c>
      <c r="J120" s="50" t="str">
        <f>IF(SUM($H118:J118) &gt; SUM($H116:J116),  " N/A", IF(SUM($H118:$BG118) = SUM($H116:$BH116),    " ",IF(J118 = SUM($H116:$BH116),  " ",   "x")))</f>
        <v>x</v>
      </c>
      <c r="K120" s="50" t="str">
        <f>IF(SUM($H118:K118) &gt; SUM($H116:K116),  " N/A", IF(SUM($H118:$BG118) = SUM($H116:$BH116),    " ",IF(K118 = SUM($H116:$BH116),  " ",   "x")))</f>
        <v>x</v>
      </c>
      <c r="L120" s="50" t="str">
        <f>IF(SUM($H118:L118) &gt; SUM($H116:L116),  " N/A", IF(SUM($H118:$BG118) = SUM($H116:$BH116),    " ",IF(L118 = SUM($H116:$BH116),  " ",   "x")))</f>
        <v>x</v>
      </c>
      <c r="M120" s="50" t="str">
        <f>IF(SUM($H118:M118) &gt; SUM($H116:M116),  " N/A", IF(SUM($H118:$BG118) = SUM($H116:$BH116),    " ",IF(M118 = SUM($H116:$BH116),  " ",   "x")))</f>
        <v>x</v>
      </c>
      <c r="N120" s="50" t="str">
        <f>IF(SUM($H118:N118) &gt; SUM($H116:N116),  " N/A", IF(SUM($H118:$BG118) = SUM($H116:$BH116),    " ",IF(N118 = SUM($H116:$BH116),  " ",   "x")))</f>
        <v>x</v>
      </c>
      <c r="O120" s="50" t="str">
        <f>IF(SUM($H118:O118) &gt; SUM($H116:O116),  " N/A", IF(SUM($H118:$BG118) = SUM($H116:$BH116),    " ",IF(O118 = SUM($H116:$BH116),  " ",   "x")))</f>
        <v>x</v>
      </c>
      <c r="P120" s="50" t="str">
        <f>IF(SUM($H118:P118) &gt; SUM($H116:P116),  " N/A", IF(SUM($H118:$BG118) = SUM($H116:$BH116),    " ",IF(P118 = SUM($H116:$BH116),  " ",   "x")))</f>
        <v>x</v>
      </c>
      <c r="Q120" s="50" t="str">
        <f>IF(SUM($H118:Q118) &gt; SUM($H116:Q116),  " N/A", IF(SUM($H118:$BG118) = SUM($H116:$BH116),    " ",IF(Q118 = SUM($H116:$BH116),  " ",   "x")))</f>
        <v>x</v>
      </c>
      <c r="R120" s="50" t="str">
        <f>IF(SUM($H118:R118) &gt; SUM($H116:R116),  " N/A", IF(SUM($H118:$BG118) = SUM($H116:$BH116),    " ",IF(R118 = SUM($H116:$BH116),  " ",   "x")))</f>
        <v>x</v>
      </c>
      <c r="S120" s="50" t="str">
        <f>IF(SUM($H118:S118) &gt; SUM($H116:S116),  " N/A", IF(SUM($H118:$BG118) = SUM($H116:$BH116),    " ",IF(S118 = SUM($H116:$BH116),  " ",   "x")))</f>
        <v>x</v>
      </c>
      <c r="T120" s="50" t="str">
        <f>IF(SUM($H118:T118) &gt; SUM($H116:T116),  " N/A", IF(SUM($H118:$BG118) = SUM($H116:$BH116),    " ",IF(T118 = SUM($H116:$BH116),  " ",   "x")))</f>
        <v>x</v>
      </c>
      <c r="U120" s="50" t="str">
        <f>IF(SUM($H118:U118) &gt; SUM($H116:U116),  " N/A", IF(SUM($H118:$BG118) = SUM($H116:$BH116),    " ",IF(U118 = SUM($H116:$BH116),  " ",   "x")))</f>
        <v>x</v>
      </c>
      <c r="V120" s="50" t="str">
        <f>IF(SUM($H118:V118) &gt; SUM($H116:V116),  " N/A", IF(SUM($H118:$BG118) = SUM($H116:$BH116),    " ",IF(V118 = SUM($H116:$BH116),  " ",   "x")))</f>
        <v>x</v>
      </c>
      <c r="W120" s="50" t="str">
        <f>IF(SUM($H118:W118) &gt; SUM($H116:W116),  " N/A", IF(SUM($H118:$BG118) = SUM($H116:$BH116),    " ",IF(W118 = SUM($H116:$BH116),  " ",   "x")))</f>
        <v>x</v>
      </c>
      <c r="X120" s="50" t="str">
        <f>IF(SUM($H118:X118) &gt; SUM($H116:X116),  " N/A", IF(SUM($H118:$BG118) = SUM($H116:$BH116),    " ",IF(X118 = SUM($H116:$BH116),  " ",   "x")))</f>
        <v>x</v>
      </c>
      <c r="Y120" s="50" t="str">
        <f>IF(SUM($H118:Y118) &gt; SUM($H116:Y116),  " N/A", IF(SUM($H118:$BG118) = SUM($H116:$BH116),    " ",IF(Y118 = SUM($H116:$BH116),  " ",   "x")))</f>
        <v>x</v>
      </c>
      <c r="Z120" s="50" t="str">
        <f>IF(SUM($H118:Z118) &gt; SUM($H116:Z116),  " N/A", IF(SUM($H118:$BG118) = SUM($H116:$BH116),    " ",IF(Z118 = SUM($H116:$BH116),  " ",   "x")))</f>
        <v>x</v>
      </c>
      <c r="AA120" s="50" t="str">
        <f>IF(SUM($H118:AA118) &gt; SUM($H116:AA116),  " N/A", IF(SUM($H118:$BG118) = SUM($H116:$BH116),    " ",IF(AA118 = SUM($H116:$BH116),  " ",   "x")))</f>
        <v>x</v>
      </c>
      <c r="AB120" s="50" t="str">
        <f>IF(SUM($H118:AB118) &gt; SUM($H116:AB116),  " N/A", IF(SUM($H118:$BG118) = SUM($H116:$BH116),    " ",IF(AB118 = SUM($H116:$BH116),  " ",   "x")))</f>
        <v>x</v>
      </c>
      <c r="AC120" s="50" t="str">
        <f>IF(SUM($H118:AC118) &gt; SUM($H116:AC116),  " N/A", IF(SUM($H118:$BG118) = SUM($H116:$BH116),    " ",IF(AC118 = SUM($H116:$BH116),  " ",   "x")))</f>
        <v>x</v>
      </c>
      <c r="AD120" s="50" t="str">
        <f>IF(SUM($H118:AD118) &gt; SUM($H116:AD116),  " N/A", IF(SUM($H118:$BG118) = SUM($H116:$BH116),    " ",IF(AD118 = SUM($H116:$BH116),  " ",   "x")))</f>
        <v>x</v>
      </c>
      <c r="AE120" s="50" t="str">
        <f>IF(SUM($H118:AE118) &gt; SUM($H116:AE116),  " N/A", IF(SUM($H118:$BG118) = SUM($H116:$BH116),    " ",IF(AE118 = SUM($H116:$BH116),  " ",   "x")))</f>
        <v>x</v>
      </c>
      <c r="AF120" s="50" t="str">
        <f>IF(SUM($H118:AF118) &gt; SUM($H116:AF116),  " N/A", IF(SUM($H118:$BG118) = SUM($H116:$BH116),    " ",IF(AF118 = SUM($H116:$BH116),  " ",   "x")))</f>
        <v>x</v>
      </c>
      <c r="AG120" s="50" t="str">
        <f>IF(SUM($H118:AG118) &gt; SUM($H116:AG116),  " N/A", IF(SUM($H118:$BG118) = SUM($H116:$BH116),    " ",IF(AG118 = SUM($H116:$BH116),  " ",   "x")))</f>
        <v>x</v>
      </c>
      <c r="AH120" s="50" t="str">
        <f>IF(SUM($H118:AH118) &gt; SUM($H116:AH116),  " N/A", IF(SUM($H118:$BG118) = SUM($H116:$BH116),    " ",IF(AH118 = SUM($H116:$BH116),  " ",   "x")))</f>
        <v>x</v>
      </c>
      <c r="AI120" s="50" t="str">
        <f>IF(SUM($H118:AI118) &gt; SUM($H116:AI116),  " N/A", IF(SUM($H118:$BG118) = SUM($H116:$BH116),    " ",IF(AI118 = SUM($H116:$BH116),  " ",   "x")))</f>
        <v>x</v>
      </c>
      <c r="AJ120" s="50" t="str">
        <f>IF(SUM($H118:AJ118) &gt; SUM($H116:AJ116),  " N/A", IF(SUM($H118:$BG118) = SUM($H116:$BH116),    " ",IF(AJ118 = SUM($H116:$BH116),  " ",   "x")))</f>
        <v>x</v>
      </c>
      <c r="AK120" s="50" t="str">
        <f>IF(SUM($H118:AK118) &gt; SUM($H116:AK116),  " N/A", IF(SUM($H118:$BG118) = SUM($H116:$BH116),    " ",IF(AK118 = SUM($H116:$BH116),  " ",   "x")))</f>
        <v>x</v>
      </c>
      <c r="AL120" s="50" t="str">
        <f>IF(SUM($H118:AL118) &gt; SUM($H116:AL116),  " N/A", IF(SUM($H118:$BG118) = SUM($H116:$BH116),    " ",IF(AL118 = SUM($H116:$BH116),  " ",   "x")))</f>
        <v>x</v>
      </c>
      <c r="AM120" s="50" t="str">
        <f>IF(SUM($H118:AM118) &gt; SUM($H116:AM116),  " N/A", IF(SUM($H118:$BG118) = SUM($H116:$BH116),    " ",IF(AM118 = SUM($H116:$BH116),  " ",   "x")))</f>
        <v>x</v>
      </c>
      <c r="AN120" s="50" t="str">
        <f>IF(SUM($H118:AN118) &gt; SUM($H116:AN116),  " N/A", IF(SUM($H118:$BG118) = SUM($H116:$BH116),    " ",IF(AN118 = SUM($H116:$BH116),  " ",   "x")))</f>
        <v>x</v>
      </c>
      <c r="AO120" s="50" t="str">
        <f>IF(SUM($H118:AO118) &gt; SUM($H116:AO116),  " N/A", IF(SUM($H118:$BG118) = SUM($H116:$BH116),    " ",IF(AO118 = SUM($H116:$BH116),  " ",   "x")))</f>
        <v>x</v>
      </c>
      <c r="AP120" s="50" t="str">
        <f>IF(SUM($H118:AP118) &gt; SUM($H116:AP116),  " N/A", IF(SUM($H118:$BG118) = SUM($H116:$BH116),    " ",IF(AP118 = SUM($H116:$BH116),  " ",   "x")))</f>
        <v>x</v>
      </c>
      <c r="AQ120" s="50" t="str">
        <f>IF(SUM($H118:AQ118) &gt; SUM($H116:AQ116),  " N/A", IF(SUM($H118:$BG118) = SUM($H116:$BH116),    " ",IF(AQ118 = SUM($H116:$BH116),  " ",   "x")))</f>
        <v>x</v>
      </c>
      <c r="AR120" s="50" t="str">
        <f>IF(SUM($H118:AR118) &gt; SUM($H116:AR116),  " N/A", IF(SUM($H118:$BG118) = SUM($H116:$BH116),    " ",IF(AR118 = SUM($H116:$BH116),  " ",   "x")))</f>
        <v>x</v>
      </c>
      <c r="AS120" s="50" t="str">
        <f>IF(SUM($H118:AS118) &gt; SUM($H116:AS116),  " N/A", IF(SUM($H118:$BG118) = SUM($H116:$BH116),    " ",IF(AS118 = SUM($H116:$BH116),  " ",   "x")))</f>
        <v>x</v>
      </c>
      <c r="AT120" s="50" t="str">
        <f>IF(SUM($H118:AT118) &gt; SUM($H116:AT116),  " N/A", IF(SUM($H118:$BG118) = SUM($H116:$BH116),    " ",IF(AT118 = SUM($H116:$BH116),  " ",   "x")))</f>
        <v>x</v>
      </c>
      <c r="AU120" s="50" t="str">
        <f>IF(SUM($H118:AU118) &gt; SUM($H116:AU116),  " N/A", IF(SUM($H118:$BG118) = SUM($H116:$BH116),    " ",IF(AU118 = SUM($H116:$BH116),  " ",   "x")))</f>
        <v>x</v>
      </c>
      <c r="AV120" s="50" t="str">
        <f>IF(SUM($H118:AV118) &gt; SUM($H116:AV116),  " N/A", IF(SUM($H118:$BG118) = SUM($H116:$BH116),    " ",IF(AV118 = SUM($H116:$BH116),  " ",   "x")))</f>
        <v>x</v>
      </c>
      <c r="AW120" s="50" t="str">
        <f>IF(SUM($H118:AW118) &gt; SUM($H116:AW116),  " N/A", IF(SUM($H118:$BG118) = SUM($H116:$BH116),    " ",IF(AW118 = SUM($H116:$BH116),  " ",   "x")))</f>
        <v>x</v>
      </c>
      <c r="AX120" s="50" t="str">
        <f>IF(SUM($H118:AX118) &gt; SUM($H116:AX116),  " N/A", IF(SUM($H118:$BG118) = SUM($H116:$BH116),    " ",IF(AX118 = SUM($H116:$BH116),  " ",   "x")))</f>
        <v>x</v>
      </c>
      <c r="AY120" s="50" t="str">
        <f>IF(SUM($H118:AY118) &gt; SUM($H116:AY116),  " N/A", IF(SUM($H118:$BG118) = SUM($H116:$BH116),    " ",IF(AY118 = SUM($H116:$BH116),  " ",   "x")))</f>
        <v>x</v>
      </c>
      <c r="AZ120" s="50" t="str">
        <f>IF(SUM($H118:AZ118) &gt; SUM($H116:AZ116),  " N/A", IF(SUM($H118:$BG118) = SUM($H116:$BH116),    " ",IF(AZ118 = SUM($H116:$BH116),  " ",   "x")))</f>
        <v>x</v>
      </c>
      <c r="BA120" s="50" t="str">
        <f>IF(SUM($H118:BA118) &gt; SUM($H116:BA116),  " N/A", IF(SUM($H118:$BG118) = SUM($H116:$BH116),    " ",IF(BA118 = SUM($H116:$BH116),  " ",   "x")))</f>
        <v>x</v>
      </c>
      <c r="BB120" s="50" t="str">
        <f>IF(SUM($H118:BB118) &gt; SUM($H116:BB116),  " N/A", IF(SUM($H118:$BG118) = SUM($H116:$BH116),    " ",IF(BB118 = SUM($H116:$BH116),  " ",   "x")))</f>
        <v>x</v>
      </c>
      <c r="BC120" s="50" t="str">
        <f>IF(SUM($H118:BC118) &gt; SUM($H116:BC116),  " N/A", IF(SUM($H118:$BG118) = SUM($H116:$BH116),    " ",IF(BC118 = SUM($H116:$BH116),  " ",   "x")))</f>
        <v>x</v>
      </c>
      <c r="BD120" s="50" t="str">
        <f>IF(SUM($H118:BD118) &gt; SUM($H116:BD116),  " N/A", IF(SUM($H118:$BG118) = SUM($H116:$BH116),    " ",IF(BD118 = SUM($H116:$BH116),  " ",   "x")))</f>
        <v>x</v>
      </c>
      <c r="BE120" s="50" t="str">
        <f>IF(SUM($H118:BE118) &gt; SUM($H116:BE116),  " N/A", IF(SUM($H118:$BG118) = SUM($H116:$BH116),    " ",IF(BE118 = SUM($H116:$BH116),  " ",   "x")))</f>
        <v>x</v>
      </c>
      <c r="BF120" s="50" t="str">
        <f>IF(SUM($H118:BF118) &gt; SUM($H116:BF116),  " N/A", IF(SUM($H118:$BG118) = SUM($H116:$BH116),    " ",IF(BF118 = SUM($H116:$BH116),  " ",   "x")))</f>
        <v>x</v>
      </c>
      <c r="BG120" s="50" t="str">
        <f>IF(SUM($H118:BG118) &gt; SUM($H116:BG116),  " N/A", IF(SUM($H118:$BG118) = SUM($H116:$BH116),    " ",IF(BG118 = SUM($H116:$BH116),  " ",   "x")))</f>
        <v>x</v>
      </c>
      <c r="BH120" s="21"/>
    </row>
    <row r="121" spans="2:60" ht="15.6" x14ac:dyDescent="0.3">
      <c r="B121" s="71"/>
      <c r="C121" s="77"/>
      <c r="D121" s="82" t="s">
        <v>249</v>
      </c>
      <c r="E121" s="54">
        <f>SUM(H121:BG121)</f>
        <v>16</v>
      </c>
      <c r="F121" s="115">
        <f>Gant_24!$E121-E123</f>
        <v>16</v>
      </c>
      <c r="H121" s="41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>
        <v>16</v>
      </c>
      <c r="AD121" s="51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42"/>
      <c r="BB121" s="42"/>
      <c r="BC121" s="42"/>
      <c r="BD121" s="42"/>
      <c r="BE121" s="42"/>
      <c r="BF121" s="42"/>
      <c r="BG121" s="42"/>
      <c r="BH121" s="21"/>
    </row>
    <row r="122" spans="2:60" ht="15.6" x14ac:dyDescent="0.3">
      <c r="B122" s="68"/>
      <c r="C122" s="78"/>
      <c r="D122" s="83" t="s">
        <v>261</v>
      </c>
      <c r="E122" s="55">
        <f>SUM(H122:BG122)</f>
        <v>0</v>
      </c>
      <c r="F122" s="116"/>
      <c r="H122" s="43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50"/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  <c r="AV122" s="44"/>
      <c r="AW122" s="44"/>
      <c r="AX122" s="44"/>
      <c r="AY122" s="44"/>
      <c r="AZ122" s="44"/>
      <c r="BA122" s="44"/>
      <c r="BB122" s="44"/>
      <c r="BC122" s="44"/>
      <c r="BD122" s="44"/>
      <c r="BE122" s="44"/>
      <c r="BF122" s="44"/>
      <c r="BG122" s="44"/>
      <c r="BH122" s="21"/>
    </row>
    <row r="123" spans="2:60" ht="15.6" x14ac:dyDescent="0.3">
      <c r="B123" s="68" t="s">
        <v>120</v>
      </c>
      <c r="C123" s="78" t="s">
        <v>121</v>
      </c>
      <c r="D123" s="83" t="s">
        <v>241</v>
      </c>
      <c r="E123" s="55">
        <f>SUM(H123:BG123)</f>
        <v>0</v>
      </c>
      <c r="F123" s="116"/>
      <c r="H123" s="45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  <c r="AO123" s="46"/>
      <c r="AP123" s="46"/>
      <c r="AQ123" s="46"/>
      <c r="AR123" s="46"/>
      <c r="AS123" s="46"/>
      <c r="AT123" s="46"/>
      <c r="AU123" s="46"/>
      <c r="AV123" s="46"/>
      <c r="AW123" s="46"/>
      <c r="AX123" s="46"/>
      <c r="AY123" s="46"/>
      <c r="AZ123" s="46"/>
      <c r="BA123" s="46"/>
      <c r="BB123" s="46"/>
      <c r="BC123" s="46"/>
      <c r="BD123" s="46"/>
      <c r="BE123" s="46"/>
      <c r="BF123" s="46"/>
      <c r="BG123" s="46"/>
      <c r="BH123" s="21"/>
    </row>
    <row r="124" spans="2:60" ht="15.6" x14ac:dyDescent="0.3">
      <c r="B124" s="68"/>
      <c r="C124" s="78"/>
      <c r="D124" s="83" t="s">
        <v>278</v>
      </c>
      <c r="E124" s="56">
        <f ca="1">MAX(H124:BG124)</f>
        <v>0</v>
      </c>
      <c r="F124" s="116"/>
      <c r="H124" s="47"/>
      <c r="I124" s="48"/>
      <c r="J124" s="48"/>
      <c r="K124" s="48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 t="str">
        <f>IF(SUM(H121:BG121) = AC123, " ", " ")</f>
        <v xml:space="preserve"> </v>
      </c>
      <c r="AD124" s="44" t="str">
        <f ca="1">IF(AD9&gt;WEEKNUM(TODAY())," ", IF(AND(AD10="x",SUM($AC123:AD123)&gt;$AC121),H9-(SUM($AC123:AC123)/SUM($AC121:$BG121)),IF(SUM($AC123:AD123)&gt;=$AC121," ",H9-(SUM($AC123:AC123)/(SUM($AC121:$BG121))))))</f>
        <v xml:space="preserve"> </v>
      </c>
      <c r="AE124" s="44" t="str">
        <f ca="1">IF(AE9&gt;WEEKNUM(TODAY())," ", IF(AND(AE10="x",SUM($AC123:AE123)&gt;$AC121),I9-(SUM($AC123:AD123)/SUM($AC121:$BG121)),IF(SUM($AC123:AE123)&gt;=$AC121," ",I9-(SUM($AC123:AD123)/(SUM($AC121:$BG121))))))</f>
        <v xml:space="preserve"> </v>
      </c>
      <c r="AF124" s="44" t="str">
        <f ca="1">IF(AF9&gt;WEEKNUM(TODAY())," ", IF(AND(AF10="x",SUM($AC123:AF123)&gt;$AC121),J9-(SUM($AC123:AE123)/SUM($AC121:$BG121)),IF(SUM($AC123:AF123)&gt;=$AC121," ",J9-(SUM($AC123:AE123)/(SUM($AC121:$BG121))))))</f>
        <v xml:space="preserve"> </v>
      </c>
      <c r="AG124" s="44" t="str">
        <f ca="1">IF(AG9&gt;WEEKNUM(TODAY())," ", IF(AND(AG10="x",SUM($AC123:AG123)&gt;$AC121),K9-(SUM($AC123:AF123)/SUM($AC121:$BG121)),IF(SUM($AC123:AG123)&gt;=$AC121," ",K9-(SUM($AC123:AF123)/(SUM($AC121:$BG121))))))</f>
        <v xml:space="preserve"> </v>
      </c>
      <c r="AH124" s="44" t="str">
        <f ca="1">IF(AH9&gt;WEEKNUM(TODAY())," ", IF(AND(AH10="x",SUM($AC123:AH123)&gt;$AC121),L9-(SUM($AC123:AG123)/SUM($AC121:$BG121)),IF(SUM($AC123:AH123)&gt;=$AC121," ",L9-(SUM($AC123:AG123)/(SUM($AC121:$BG121))))))</f>
        <v xml:space="preserve"> </v>
      </c>
      <c r="AI124" s="44" t="str">
        <f ca="1">IF(AI9&gt;WEEKNUM(TODAY())," ", IF(AND(AI10="x",SUM($AC123:AI123)&gt;$AC121),M9-(SUM($AC123:AH123)/SUM($AC121:$BG121)),IF(SUM($AC123:AI123)&gt;=$AC121," ",M9-(SUM($AC123:AH123)/(SUM($AC121:$BG121))))))</f>
        <v xml:space="preserve"> </v>
      </c>
      <c r="AJ124" s="44" t="str">
        <f ca="1">IF(AJ9&gt;WEEKNUM(TODAY())," ", IF(AND(AJ10="x",SUM($AC123:AJ123)&gt;$AC121),N9-(SUM($AC123:AI123)/SUM($AC121:$BG121)),IF(SUM($AC123:AJ123)&gt;=$AC121," ",N9-(SUM($AC123:AI123)/(SUM($AC121:$BG121))))))</f>
        <v xml:space="preserve"> </v>
      </c>
      <c r="AK124" s="44" t="str">
        <f ca="1">IF(AK9&gt;WEEKNUM(TODAY())," ", IF(AND(AK10="x",SUM($AC123:AK123)&gt;$AC121),O9-(SUM($AC123:AJ123)/SUM($AC121:$BG121)),IF(SUM($AC123:AK123)&gt;=$AC121," ",O9-(SUM($AC123:AJ123)/(SUM($AC121:$BG121))))))</f>
        <v xml:space="preserve"> </v>
      </c>
      <c r="AL124" s="44" t="str">
        <f ca="1">IF(AL9&gt;WEEKNUM(TODAY())," ", IF(AND(AL10="x",SUM($AC123:AL123)&gt;$AC121),P9-(SUM($AC123:AK123)/SUM($AC121:$BG121)),IF(SUM($AC123:AL123)&gt;=$AC121," ",P9-(SUM($AC123:AK123)/(SUM($AC121:$BG121))))))</f>
        <v xml:space="preserve"> </v>
      </c>
      <c r="AM124" s="44" t="str">
        <f ca="1">IF(AM9&gt;WEEKNUM(TODAY())," ", IF(AND(AM10="x",SUM($AC123:AM123)&gt;$AC121),Q9-(SUM($AC123:AL123)/SUM($AC121:$BG121)),IF(SUM($AC123:AM123)&gt;=$AC121," ",Q9-(SUM($AC123:AL123)/(SUM($AC121:$BG121))))))</f>
        <v xml:space="preserve"> </v>
      </c>
      <c r="AN124" s="44" t="str">
        <f ca="1">IF(AN9&gt;WEEKNUM(TODAY())," ", IF(AND(AN10="x",SUM($AC123:AN123)&gt;$AC121),R9-(SUM($AC123:AM123)/SUM($AC121:$BG121)),IF(SUM($AC123:AN123)&gt;=$AC121," ",R9-(SUM($AC123:AM123)/(SUM($AC121:$BG121))))))</f>
        <v xml:space="preserve"> </v>
      </c>
      <c r="AO124" s="44" t="str">
        <f ca="1">IF(AO9&gt;WEEKNUM(TODAY())," ", IF(AND(AO10="x",SUM($AC123:AO123)&gt;$AC121),S9-(SUM($AC123:AN123)/SUM($AC121:$BG121)),IF(SUM($AC123:AO123)&gt;=$AC121," ",S9-(SUM($AC123:AN123)/(SUM($AC121:$BG121))))))</f>
        <v xml:space="preserve"> </v>
      </c>
      <c r="AP124" s="44" t="str">
        <f ca="1">IF(AP9&gt;WEEKNUM(TODAY())," ", IF(AND(AP10="x",SUM($AC123:AP123)&gt;$AC121),T9-(SUM($AC123:AO123)/SUM($AC121:$BG121)),IF(SUM($AC123:AP123)&gt;=$AC121," ",T9-(SUM($AC123:AO123)/(SUM($AC121:$BG121))))))</f>
        <v xml:space="preserve"> </v>
      </c>
      <c r="AQ124" s="44" t="str">
        <f ca="1">IF(AQ9&gt;WEEKNUM(TODAY())," ", IF(AND(AQ10="x",SUM($AC123:AQ123)&gt;$AC121),U9-(SUM($AC123:AP123)/SUM($AC121:$BG121)),IF(SUM($AC123:AQ123)&gt;=$AC121," ",U9-(SUM($AC123:AP123)/(SUM($AC121:$BG121))))))</f>
        <v xml:space="preserve"> </v>
      </c>
      <c r="AR124" s="44" t="str">
        <f ca="1">IF(AR9&gt;WEEKNUM(TODAY())," ", IF(AND(AR10="x",SUM($AC123:AR123)&gt;$AC121),V9-(SUM($AC123:AQ123)/SUM($AC121:$BG121)),IF(SUM($AC123:AR123)&gt;=$AC121," ",V9-(SUM($AC123:AQ123)/(SUM($AC121:$BG121))))))</f>
        <v xml:space="preserve"> </v>
      </c>
      <c r="AS124" s="44" t="str">
        <f ca="1">IF(AS9&gt;WEEKNUM(TODAY())," ", IF(AND(AS10="x",SUM($AC123:AS123)&gt;$AC121),W9-(SUM($AC123:AR123)/SUM($AC121:$BG121)),IF(SUM($AC123:AS123)&gt;=$AC121," ",W9-(SUM($AC123:AR123)/(SUM($AC121:$BG121))))))</f>
        <v xml:space="preserve"> </v>
      </c>
      <c r="AT124" s="44" t="str">
        <f ca="1">IF(AT9&gt;WEEKNUM(TODAY())," ", IF(AND(AT10="x",SUM($AC123:AT123)&gt;$AC121),X9-(SUM($AC123:AS123)/SUM($AC121:$BG121)),IF(SUM($AC123:AT123)&gt;=$AC121," ",X9-(SUM($AC123:AS123)/(SUM($AC121:$BG121))))))</f>
        <v xml:space="preserve"> </v>
      </c>
      <c r="AU124" s="44" t="str">
        <f ca="1">IF(AU9&gt;WEEKNUM(TODAY())," ", IF(AND(AU10="x",SUM($AC123:AU123)&gt;$AC121),Y9-(SUM($AC123:AT123)/SUM($AC121:$BG121)),IF(SUM($AC123:AU123)&gt;=$AC121," ",Y9-(SUM($AC123:AT123)/(SUM($AC121:$BG121))))))</f>
        <v xml:space="preserve"> </v>
      </c>
      <c r="AV124" s="44" t="str">
        <f ca="1">IF(AV9&gt;WEEKNUM(TODAY())," ", IF(AND(AV10="x",SUM($AC123:AV123)&gt;$AC121),Z9-(SUM($AC123:AU123)/SUM($AC121:$BG121)),IF(SUM($AC123:AV123)&gt;=$AC121," ",Z9-(SUM($AC123:AU123)/(SUM($AC121:$BG121))))))</f>
        <v xml:space="preserve"> </v>
      </c>
      <c r="AW124" s="44" t="str">
        <f ca="1">IF(AW9&gt;WEEKNUM(TODAY())," ", IF(AND(AW10="x",SUM($AC123:AW123)&gt;$AC121),AA9-(SUM($AC123:AV123)/SUM($AC121:$BG121)),IF(SUM($AC123:AW123)&gt;=$AC121," ",AA9-(SUM($AC123:AV123)/(SUM($AC121:$BG121))))))</f>
        <v xml:space="preserve"> </v>
      </c>
      <c r="AX124" s="44" t="str">
        <f ca="1">IF(AX9&gt;WEEKNUM(TODAY())," ", IF(AND(AX10="x",SUM($AC123:AX123)&gt;$AC121),AB9-(SUM($AC123:AW123)/SUM($AC121:$BG121)),IF(SUM($AC123:AX123)&gt;=$AC121," ",AB9-(SUM($AC123:AW123)/(SUM($AC121:$BG121))))))</f>
        <v xml:space="preserve"> </v>
      </c>
      <c r="AY124" s="44" t="str">
        <f ca="1">IF(AY9&gt;WEEKNUM(TODAY())," ", IF(AND(AY10="x",SUM($AC123:AY123)&gt;$AC121),AC9-(SUM($AC123:AX123)/SUM($AC121:$BG121)),IF(SUM($AC123:AY123)&gt;=$AC121," ",AC9-(SUM($AC123:AX123)/(SUM($AC121:$BG121))))))</f>
        <v xml:space="preserve"> </v>
      </c>
      <c r="AZ124" s="44" t="str">
        <f ca="1">IF(AZ9&gt;WEEKNUM(TODAY())," ", IF(AND(AZ10="x",SUM($AC123:AZ123)&gt;$AC121),AD9-(SUM($AC123:AY123)/SUM($AC121:$BG121)),IF(SUM($AC123:AZ123)&gt;=$AC121," ",AD9-(SUM($AC123:AY123)/(SUM($AC121:$BG121))))))</f>
        <v xml:space="preserve"> </v>
      </c>
      <c r="BA124" s="44" t="str">
        <f ca="1">IF(BA9&gt;WEEKNUM(TODAY())," ", IF(AND(BA10="x",SUM($AC123:BA123)&gt;$AC121),AE9-(SUM($AC123:AZ123)/SUM($AC121:$BG121)),IF(SUM($AC123:BA123)&gt;=$AC121," ",AE9-(SUM($AC123:AZ123)/(SUM($AC121:$BG121))))))</f>
        <v xml:space="preserve"> </v>
      </c>
      <c r="BB124" s="44" t="str">
        <f ca="1">IF(BB9&gt;WEEKNUM(TODAY())," ", IF(AND(BB10="x",SUM($AC123:BB123)&gt;$AC121),AF9-(SUM($AC123:BA123)/SUM($AC121:$BG121)),IF(SUM($AC123:BB123)&gt;=$AC121," ",AF9-(SUM($AC123:BA123)/(SUM($AC121:$BG121))))))</f>
        <v xml:space="preserve"> </v>
      </c>
      <c r="BC124" s="44" t="str">
        <f ca="1">IF(BC9&gt;WEEKNUM(TODAY())," ", IF(AND(BC10="x",SUM($AC123:BC123)&gt;$AC121),AG9-(SUM($AC123:BB123)/SUM($AC121:$BG121)),IF(SUM($AC123:BC123)&gt;=$AC121," ",AG9-(SUM($AC123:BB123)/(SUM($AC121:$BG121))))))</f>
        <v xml:space="preserve"> </v>
      </c>
      <c r="BD124" s="44" t="str">
        <f ca="1">IF(BD9&gt;WEEKNUM(TODAY())," ", IF(AND(BD10="x",SUM($AC123:BD123)&gt;$AC121),AH9-(SUM($AC123:BC123)/SUM($AC121:$BG121)),IF(SUM($AC123:BD123)&gt;=$AC121," ",AH9-(SUM($AC123:BC123)/(SUM($AC121:$BG121))))))</f>
        <v xml:space="preserve"> </v>
      </c>
      <c r="BE124" s="44" t="str">
        <f ca="1">IF(BE9&gt;WEEKNUM(TODAY())," ", IF(AND(BE10="x",SUM($AC123:BE123)&gt;$AC121),AI9-(SUM($AC123:BD123)/SUM($AC121:$BG121)),IF(SUM($AC123:BE123)&gt;=$AC121," ",AI9-(SUM($AC123:BD123)/(SUM($AC121:$BG121))))))</f>
        <v xml:space="preserve"> </v>
      </c>
      <c r="BF124" s="44" t="str">
        <f ca="1">IF(BF9&gt;WEEKNUM(TODAY())," ", IF(AND(BF10="x",SUM($AC123:BF123)&gt;$AC121),AJ9-(SUM($AC123:BE123)/SUM($AC121:$BG121)),IF(SUM($AC123:BF123)&gt;=$AC121," ",AJ9-(SUM($AC123:BE123)/(SUM($AC121:$BG121))))))</f>
        <v xml:space="preserve"> </v>
      </c>
      <c r="BG124" s="44" t="str">
        <f ca="1">IF(BG9&gt;WEEKNUM(TODAY())," ", IF(AND(BG10="x",SUM($AC123:BG123)&gt;$AC121),AK9-(SUM($AC123:BF123)/SUM($AC121:$BG121)),IF(SUM($AC123:BG123)&gt;=$AC121," ",AK9-(SUM($AC123:BF123)/(SUM($AC121:$BG121))))))</f>
        <v xml:space="preserve"> </v>
      </c>
      <c r="BH124" s="21"/>
    </row>
    <row r="125" spans="2:60" ht="16.2" thickBot="1" x14ac:dyDescent="0.35">
      <c r="B125" s="70"/>
      <c r="C125" s="79"/>
      <c r="D125" s="84"/>
      <c r="E125" s="57"/>
      <c r="F125" s="117"/>
      <c r="H125" s="49" t="str">
        <f>IF(H121= " ", " ",IF(H123&gt;SUM($H121:$BG121), " N/A", IF(SUM($H123:$BG123)=SUM($H121:BG121), " ", IF(H123=SUM($H121:BG121), " ", "x"))))</f>
        <v>x</v>
      </c>
      <c r="I125" s="50" t="str">
        <f>IF(SUM($H123:I123) &gt; SUM($H121:I121),  " N/A", IF(SUM($H123:$BG123) = SUM($H121:$BH121),    " ",IF(I123 = SUM($H121:$BH121),  " ",   "x")))</f>
        <v>x</v>
      </c>
      <c r="J125" s="50" t="str">
        <f>IF(SUM($H123:J123) &gt; SUM($H121:J121),  " N/A", IF(SUM($H123:$BG123) = SUM($H121:$BH121),    " ",IF(J123 = SUM($H121:$BH121),  " ",   "x")))</f>
        <v>x</v>
      </c>
      <c r="K125" s="50" t="str">
        <f>IF(SUM($H123:K123) &gt; SUM($H121:K121),  " N/A", IF(SUM($H123:$BG123) = SUM($H121:$BH121),    " ",IF(K123 = SUM($H121:$BH121),  " ",   "x")))</f>
        <v>x</v>
      </c>
      <c r="L125" s="50" t="str">
        <f>IF(SUM($H123:L123) &gt; SUM($H121:L121),  " N/A", IF(SUM($H123:$BG123) = SUM($H121:$BH121),    " ",IF(L123 = SUM($H121:$BH121),  " ",   "x")))</f>
        <v>x</v>
      </c>
      <c r="M125" s="50" t="str">
        <f>IF(SUM($H123:M123) &gt; SUM($H121:M121),  " N/A", IF(SUM($H123:$BG123) = SUM($H121:$BH121),    " ",IF(M123 = SUM($H121:$BH121),  " ",   "x")))</f>
        <v>x</v>
      </c>
      <c r="N125" s="50" t="str">
        <f>IF(SUM($H123:N123) &gt; SUM($H121:N121),  " N/A", IF(SUM($H123:$BG123) = SUM($H121:$BH121),    " ",IF(N123 = SUM($H121:$BH121),  " ",   "x")))</f>
        <v>x</v>
      </c>
      <c r="O125" s="50" t="str">
        <f>IF(SUM($H123:O123) &gt; SUM($H121:O121),  " N/A", IF(SUM($H123:$BG123) = SUM($H121:$BH121),    " ",IF(O123 = SUM($H121:$BH121),  " ",   "x")))</f>
        <v>x</v>
      </c>
      <c r="P125" s="50" t="str">
        <f>IF(SUM($H123:P123) &gt; SUM($H121:P121),  " N/A", IF(SUM($H123:$BG123) = SUM($H121:$BH121),    " ",IF(P123 = SUM($H121:$BH121),  " ",   "x")))</f>
        <v>x</v>
      </c>
      <c r="Q125" s="50" t="str">
        <f>IF(SUM($H123:Q123) &gt; SUM($H121:Q121),  " N/A", IF(SUM($H123:$BG123) = SUM($H121:$BH121),    " ",IF(Q123 = SUM($H121:$BH121),  " ",   "x")))</f>
        <v>x</v>
      </c>
      <c r="R125" s="50" t="str">
        <f>IF(SUM($H123:R123) &gt; SUM($H121:R121),  " N/A", IF(SUM($H123:$BG123) = SUM($H121:$BH121),    " ",IF(R123 = SUM($H121:$BH121),  " ",   "x")))</f>
        <v>x</v>
      </c>
      <c r="S125" s="50" t="str">
        <f>IF(SUM($H123:S123) &gt; SUM($H121:S121),  " N/A", IF(SUM($H123:$BG123) = SUM($H121:$BH121),    " ",IF(S123 = SUM($H121:$BH121),  " ",   "x")))</f>
        <v>x</v>
      </c>
      <c r="T125" s="50" t="str">
        <f>IF(SUM($H123:T123) &gt; SUM($H121:T121),  " N/A", IF(SUM($H123:$BG123) = SUM($H121:$BH121),    " ",IF(T123 = SUM($H121:$BH121),  " ",   "x")))</f>
        <v>x</v>
      </c>
      <c r="U125" s="50" t="str">
        <f>IF(SUM($H123:U123) &gt; SUM($H121:U121),  " N/A", IF(SUM($H123:$BG123) = SUM($H121:$BH121),    " ",IF(U123 = SUM($H121:$BH121),  " ",   "x")))</f>
        <v>x</v>
      </c>
      <c r="V125" s="50" t="str">
        <f>IF(SUM($H123:V123) &gt; SUM($H121:V121),  " N/A", IF(SUM($H123:$BG123) = SUM($H121:$BH121),    " ",IF(V123 = SUM($H121:$BH121),  " ",   "x")))</f>
        <v>x</v>
      </c>
      <c r="W125" s="50" t="str">
        <f>IF(SUM($H123:W123) &gt; SUM($H121:W121),  " N/A", IF(SUM($H123:$BG123) = SUM($H121:$BH121),    " ",IF(W123 = SUM($H121:$BH121),  " ",   "x")))</f>
        <v>x</v>
      </c>
      <c r="X125" s="50" t="str">
        <f>IF(SUM($H123:X123) &gt; SUM($H121:X121),  " N/A", IF(SUM($H123:$BG123) = SUM($H121:$BH121),    " ",IF(X123 = SUM($H121:$BH121),  " ",   "x")))</f>
        <v>x</v>
      </c>
      <c r="Y125" s="50" t="str">
        <f>IF(SUM($H123:Y123) &gt; SUM($H121:Y121),  " N/A", IF(SUM($H123:$BG123) = SUM($H121:$BH121),    " ",IF(Y123 = SUM($H121:$BH121),  " ",   "x")))</f>
        <v>x</v>
      </c>
      <c r="Z125" s="50" t="str">
        <f>IF(SUM($H123:Z123) &gt; SUM($H121:Z121),  " N/A", IF(SUM($H123:$BG123) = SUM($H121:$BH121),    " ",IF(Z123 = SUM($H121:$BH121),  " ",   "x")))</f>
        <v>x</v>
      </c>
      <c r="AA125" s="50" t="str">
        <f>IF(SUM($H123:AA123) &gt; SUM($H121:AA121),  " N/A", IF(SUM($H123:$BG123) = SUM($H121:$BH121),    " ",IF(AA123 = SUM($H121:$BH121),  " ",   "x")))</f>
        <v>x</v>
      </c>
      <c r="AB125" s="50" t="str">
        <f>IF(SUM($H123:AB123) &gt; SUM($H121:AB121),  " N/A", IF(SUM($H123:$BG123) = SUM($H121:$BH121),    " ",IF(AB123 = SUM($H121:$BH121),  " ",   "x")))</f>
        <v>x</v>
      </c>
      <c r="AC125" s="50" t="str">
        <f>IF(SUM($H123:AC123) &gt; SUM($H121:AC121),  " N/A", IF(SUM($H123:$BG123) = SUM($H121:$BH121),    " ",IF(AC123 = SUM($H121:$BH121),  " ",   "x")))</f>
        <v>x</v>
      </c>
      <c r="AD125" s="50" t="str">
        <f>IF(SUM($H123:AD123) &gt; SUM($H121:AD121),  " N/A", IF(SUM($H123:$BG123) = SUM($H121:$BH121),    " ",IF(AD123 = SUM($H121:$BH121),  " ",   "x")))</f>
        <v>x</v>
      </c>
      <c r="AE125" s="50" t="str">
        <f>IF(SUM($H123:AE123) &gt; SUM($H121:AE121),  " N/A", IF(SUM($H123:$BG123) = SUM($H121:$BH121),    " ",IF(AE123 = SUM($H121:$BH121),  " ",   "x")))</f>
        <v>x</v>
      </c>
      <c r="AF125" s="50" t="str">
        <f>IF(SUM($H123:AF123) &gt; SUM($H121:AF121),  " N/A", IF(SUM($H123:$BG123) = SUM($H121:$BH121),    " ",IF(AF123 = SUM($H121:$BH121),  " ",   "x")))</f>
        <v>x</v>
      </c>
      <c r="AG125" s="50" t="str">
        <f>IF(SUM($H123:AG123) &gt; SUM($H121:AG121),  " N/A", IF(SUM($H123:$BG123) = SUM($H121:$BH121),    " ",IF(AG123 = SUM($H121:$BH121),  " ",   "x")))</f>
        <v>x</v>
      </c>
      <c r="AH125" s="50" t="str">
        <f>IF(SUM($H123:AH123) &gt; SUM($H121:AH121),  " N/A", IF(SUM($H123:$BG123) = SUM($H121:$BH121),    " ",IF(AH123 = SUM($H121:$BH121),  " ",   "x")))</f>
        <v>x</v>
      </c>
      <c r="AI125" s="50" t="str">
        <f>IF(SUM($H123:AI123) &gt; SUM($H121:AI121),  " N/A", IF(SUM($H123:$BG123) = SUM($H121:$BH121),    " ",IF(AI123 = SUM($H121:$BH121),  " ",   "x")))</f>
        <v>x</v>
      </c>
      <c r="AJ125" s="50" t="str">
        <f>IF(SUM($H123:AJ123) &gt; SUM($H121:AJ121),  " N/A", IF(SUM($H123:$BG123) = SUM($H121:$BH121),    " ",IF(AJ123 = SUM($H121:$BH121),  " ",   "x")))</f>
        <v>x</v>
      </c>
      <c r="AK125" s="50" t="str">
        <f>IF(SUM($H123:AK123) &gt; SUM($H121:AK121),  " N/A", IF(SUM($H123:$BG123) = SUM($H121:$BH121),    " ",IF(AK123 = SUM($H121:$BH121),  " ",   "x")))</f>
        <v>x</v>
      </c>
      <c r="AL125" s="50" t="str">
        <f>IF(SUM($H123:AL123) &gt; SUM($H121:AL121),  " N/A", IF(SUM($H123:$BG123) = SUM($H121:$BH121),    " ",IF(AL123 = SUM($H121:$BH121),  " ",   "x")))</f>
        <v>x</v>
      </c>
      <c r="AM125" s="50" t="str">
        <f>IF(SUM($H123:AM123) &gt; SUM($H121:AM121),  " N/A", IF(SUM($H123:$BG123) = SUM($H121:$BH121),    " ",IF(AM123 = SUM($H121:$BH121),  " ",   "x")))</f>
        <v>x</v>
      </c>
      <c r="AN125" s="50" t="str">
        <f>IF(SUM($H123:AN123) &gt; SUM($H121:AN121),  " N/A", IF(SUM($H123:$BG123) = SUM($H121:$BH121),    " ",IF(AN123 = SUM($H121:$BH121),  " ",   "x")))</f>
        <v>x</v>
      </c>
      <c r="AO125" s="50" t="str">
        <f>IF(SUM($H123:AO123) &gt; SUM($H121:AO121),  " N/A", IF(SUM($H123:$BG123) = SUM($H121:$BH121),    " ",IF(AO123 = SUM($H121:$BH121),  " ",   "x")))</f>
        <v>x</v>
      </c>
      <c r="AP125" s="50" t="str">
        <f>IF(SUM($H123:AP123) &gt; SUM($H121:AP121),  " N/A", IF(SUM($H123:$BG123) = SUM($H121:$BH121),    " ",IF(AP123 = SUM($H121:$BH121),  " ",   "x")))</f>
        <v>x</v>
      </c>
      <c r="AQ125" s="50" t="str">
        <f>IF(SUM($H123:AQ123) &gt; SUM($H121:AQ121),  " N/A", IF(SUM($H123:$BG123) = SUM($H121:$BH121),    " ",IF(AQ123 = SUM($H121:$BH121),  " ",   "x")))</f>
        <v>x</v>
      </c>
      <c r="AR125" s="50" t="str">
        <f>IF(SUM($H123:AR123) &gt; SUM($H121:AR121),  " N/A", IF(SUM($H123:$BG123) = SUM($H121:$BH121),    " ",IF(AR123 = SUM($H121:$BH121),  " ",   "x")))</f>
        <v>x</v>
      </c>
      <c r="AS125" s="50" t="str">
        <f>IF(SUM($H123:AS123) &gt; SUM($H121:AS121),  " N/A", IF(SUM($H123:$BG123) = SUM($H121:$BH121),    " ",IF(AS123 = SUM($H121:$BH121),  " ",   "x")))</f>
        <v>x</v>
      </c>
      <c r="AT125" s="50" t="str">
        <f>IF(SUM($H123:AT123) &gt; SUM($H121:AT121),  " N/A", IF(SUM($H123:$BG123) = SUM($H121:$BH121),    " ",IF(AT123 = SUM($H121:$BH121),  " ",   "x")))</f>
        <v>x</v>
      </c>
      <c r="AU125" s="50" t="str">
        <f>IF(SUM($H123:AU123) &gt; SUM($H121:AU121),  " N/A", IF(SUM($H123:$BG123) = SUM($H121:$BH121),    " ",IF(AU123 = SUM($H121:$BH121),  " ",   "x")))</f>
        <v>x</v>
      </c>
      <c r="AV125" s="50" t="str">
        <f>IF(SUM($H123:AV123) &gt; SUM($H121:AV121),  " N/A", IF(SUM($H123:$BG123) = SUM($H121:$BH121),    " ",IF(AV123 = SUM($H121:$BH121),  " ",   "x")))</f>
        <v>x</v>
      </c>
      <c r="AW125" s="50" t="str">
        <f>IF(SUM($H123:AW123) &gt; SUM($H121:AW121),  " N/A", IF(SUM($H123:$BG123) = SUM($H121:$BH121),    " ",IF(AW123 = SUM($H121:$BH121),  " ",   "x")))</f>
        <v>x</v>
      </c>
      <c r="AX125" s="50" t="str">
        <f>IF(SUM($H123:AX123) &gt; SUM($H121:AX121),  " N/A", IF(SUM($H123:$BG123) = SUM($H121:$BH121),    " ",IF(AX123 = SUM($H121:$BH121),  " ",   "x")))</f>
        <v>x</v>
      </c>
      <c r="AY125" s="50" t="str">
        <f>IF(SUM($H123:AY123) &gt; SUM($H121:AY121),  " N/A", IF(SUM($H123:$BG123) = SUM($H121:$BH121),    " ",IF(AY123 = SUM($H121:$BH121),  " ",   "x")))</f>
        <v>x</v>
      </c>
      <c r="AZ125" s="50" t="str">
        <f>IF(SUM($H123:AZ123) &gt; SUM($H121:AZ121),  " N/A", IF(SUM($H123:$BG123) = SUM($H121:$BH121),    " ",IF(AZ123 = SUM($H121:$BH121),  " ",   "x")))</f>
        <v>x</v>
      </c>
      <c r="BA125" s="50" t="str">
        <f>IF(SUM($H123:BA123) &gt; SUM($H121:BA121),  " N/A", IF(SUM($H123:$BG123) = SUM($H121:$BH121),    " ",IF(BA123 = SUM($H121:$BH121),  " ",   "x")))</f>
        <v>x</v>
      </c>
      <c r="BB125" s="50" t="str">
        <f>IF(SUM($H123:BB123) &gt; SUM($H121:BB121),  " N/A", IF(SUM($H123:$BG123) = SUM($H121:$BH121),    " ",IF(BB123 = SUM($H121:$BH121),  " ",   "x")))</f>
        <v>x</v>
      </c>
      <c r="BC125" s="50" t="str">
        <f>IF(SUM($H123:BC123) &gt; SUM($H121:BC121),  " N/A", IF(SUM($H123:$BG123) = SUM($H121:$BH121),    " ",IF(BC123 = SUM($H121:$BH121),  " ",   "x")))</f>
        <v>x</v>
      </c>
      <c r="BD125" s="50" t="str">
        <f>IF(SUM($H123:BD123) &gt; SUM($H121:BD121),  " N/A", IF(SUM($H123:$BG123) = SUM($H121:$BH121),    " ",IF(BD123 = SUM($H121:$BH121),  " ",   "x")))</f>
        <v>x</v>
      </c>
      <c r="BE125" s="50" t="str">
        <f>IF(SUM($H123:BE123) &gt; SUM($H121:BE121),  " N/A", IF(SUM($H123:$BG123) = SUM($H121:$BH121),    " ",IF(BE123 = SUM($H121:$BH121),  " ",   "x")))</f>
        <v>x</v>
      </c>
      <c r="BF125" s="50" t="str">
        <f>IF(SUM($H123:BF123) &gt; SUM($H121:BF121),  " N/A", IF(SUM($H123:$BG123) = SUM($H121:$BH121),    " ",IF(BF123 = SUM($H121:$BH121),  " ",   "x")))</f>
        <v>x</v>
      </c>
      <c r="BG125" s="50" t="str">
        <f>IF(SUM($H123:BG123) &gt; SUM($H121:BG121),  " N/A", IF(SUM($H123:$BG123) = SUM($H121:$BH121),    " ",IF(BG123 = SUM($H121:$BH121),  " ",   "x")))</f>
        <v>x</v>
      </c>
      <c r="BH125" s="21"/>
    </row>
    <row r="126" spans="2:60" ht="15.6" x14ac:dyDescent="0.3">
      <c r="B126" s="71"/>
      <c r="C126" s="77"/>
      <c r="D126" s="82" t="s">
        <v>249</v>
      </c>
      <c r="E126" s="54">
        <f>SUM(H126:BG126)</f>
        <v>16</v>
      </c>
      <c r="F126" s="115">
        <f>Gant_24!$E126-E128</f>
        <v>0</v>
      </c>
      <c r="H126" s="41"/>
      <c r="I126" s="42"/>
      <c r="J126" s="42"/>
      <c r="K126" s="42"/>
      <c r="L126" s="51"/>
      <c r="M126" s="51"/>
      <c r="N126" s="51"/>
      <c r="O126" s="51"/>
      <c r="P126" s="51"/>
      <c r="Q126" s="51"/>
      <c r="R126" s="51"/>
      <c r="S126" s="51"/>
      <c r="T126" s="51"/>
      <c r="U126" s="51"/>
      <c r="V126" s="51"/>
      <c r="W126" s="51"/>
      <c r="X126" s="51"/>
      <c r="Y126" s="51"/>
      <c r="Z126" s="51"/>
      <c r="AA126" s="51"/>
      <c r="AB126" s="51"/>
      <c r="AC126" s="51"/>
      <c r="AD126" s="51">
        <v>16</v>
      </c>
      <c r="AE126" s="51"/>
      <c r="AF126" s="51"/>
      <c r="AG126" s="51"/>
      <c r="AH126" s="51"/>
      <c r="AI126" s="51"/>
      <c r="AJ126" s="51"/>
      <c r="AK126" s="51"/>
      <c r="AL126" s="51"/>
      <c r="AM126" s="51"/>
      <c r="AN126" s="51"/>
      <c r="AO126" s="51"/>
      <c r="AP126" s="51"/>
      <c r="AQ126" s="51"/>
      <c r="AR126" s="51"/>
      <c r="AS126" s="51"/>
      <c r="AT126" s="51"/>
      <c r="AU126" s="51"/>
      <c r="AV126" s="51"/>
      <c r="AW126" s="51"/>
      <c r="AX126" s="51"/>
      <c r="AY126" s="51"/>
      <c r="AZ126" s="51"/>
      <c r="BA126" s="51"/>
      <c r="BB126" s="51"/>
      <c r="BC126" s="51"/>
      <c r="BD126" s="51"/>
      <c r="BE126" s="51"/>
      <c r="BF126" s="51"/>
      <c r="BG126" s="51"/>
      <c r="BH126" s="21"/>
    </row>
    <row r="127" spans="2:60" ht="15.6" x14ac:dyDescent="0.3">
      <c r="B127" s="68"/>
      <c r="C127" s="78"/>
      <c r="D127" s="83" t="s">
        <v>261</v>
      </c>
      <c r="E127" s="55">
        <f>SUM(H127:BG127)</f>
        <v>0</v>
      </c>
      <c r="F127" s="116"/>
      <c r="H127" s="43"/>
      <c r="I127" s="44"/>
      <c r="J127" s="44"/>
      <c r="K127" s="44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0"/>
      <c r="Y127" s="50"/>
      <c r="Z127" s="50"/>
      <c r="AA127" s="50"/>
      <c r="AB127" s="50"/>
      <c r="AC127" s="50"/>
      <c r="AD127" s="50"/>
      <c r="AE127" s="50"/>
      <c r="AF127" s="50"/>
      <c r="AG127" s="50"/>
      <c r="AH127" s="50"/>
      <c r="AI127" s="50"/>
      <c r="AJ127" s="50"/>
      <c r="AK127" s="50"/>
      <c r="AL127" s="50"/>
      <c r="AM127" s="50"/>
      <c r="AN127" s="50"/>
      <c r="AO127" s="50"/>
      <c r="AP127" s="50"/>
      <c r="AQ127" s="50"/>
      <c r="AR127" s="50"/>
      <c r="AS127" s="50"/>
      <c r="AT127" s="50"/>
      <c r="AU127" s="50"/>
      <c r="AV127" s="50"/>
      <c r="AW127" s="50"/>
      <c r="AX127" s="50"/>
      <c r="AY127" s="50"/>
      <c r="AZ127" s="50"/>
      <c r="BA127" s="50"/>
      <c r="BB127" s="50"/>
      <c r="BC127" s="50"/>
      <c r="BD127" s="50"/>
      <c r="BE127" s="50"/>
      <c r="BF127" s="50"/>
      <c r="BG127" s="50"/>
      <c r="BH127" s="21"/>
    </row>
    <row r="128" spans="2:60" ht="15.6" x14ac:dyDescent="0.3">
      <c r="B128" s="68" t="s">
        <v>123</v>
      </c>
      <c r="C128" s="78" t="s">
        <v>124</v>
      </c>
      <c r="D128" s="83" t="s">
        <v>241</v>
      </c>
      <c r="E128" s="55">
        <f>SUM(H128:BG128)</f>
        <v>16</v>
      </c>
      <c r="F128" s="116"/>
      <c r="H128" s="45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>
        <v>16</v>
      </c>
      <c r="AJ128" s="46"/>
      <c r="AK128" s="46"/>
      <c r="AL128" s="46"/>
      <c r="AM128" s="46"/>
      <c r="AN128" s="46"/>
      <c r="AO128" s="46"/>
      <c r="AP128" s="46"/>
      <c r="AQ128" s="46"/>
      <c r="AR128" s="46"/>
      <c r="AS128" s="46"/>
      <c r="AT128" s="46"/>
      <c r="AU128" s="46"/>
      <c r="AV128" s="46"/>
      <c r="AW128" s="46"/>
      <c r="AX128" s="46"/>
      <c r="AY128" s="46"/>
      <c r="AZ128" s="46"/>
      <c r="BA128" s="46"/>
      <c r="BB128" s="46"/>
      <c r="BC128" s="46"/>
      <c r="BD128" s="46"/>
      <c r="BE128" s="46"/>
      <c r="BF128" s="46"/>
      <c r="BG128" s="46"/>
      <c r="BH128" s="21"/>
    </row>
    <row r="129" spans="2:60" ht="15.6" x14ac:dyDescent="0.3">
      <c r="B129" s="68"/>
      <c r="C129" s="78"/>
      <c r="D129" s="83" t="s">
        <v>278</v>
      </c>
      <c r="E129" s="56">
        <f ca="1">MAX(H129:BG129)</f>
        <v>0</v>
      </c>
      <c r="F129" s="116"/>
      <c r="H129" s="47"/>
      <c r="I129" s="48"/>
      <c r="J129" s="48"/>
      <c r="K129" s="48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  <c r="AA129" s="44"/>
      <c r="AB129" s="44"/>
      <c r="AC129" s="44"/>
      <c r="AD129" s="44" t="str">
        <f>IF(SUM(H126:BG126) = AD128, " 0 ", " ")</f>
        <v xml:space="preserve"> </v>
      </c>
      <c r="AE129" s="44" t="str">
        <f ca="1">IF(AE9&gt;WEEKNUM(TODAY())," ", IF(AND(AE10="x",SUM($AD128:AE128)&gt;$AD126),H9-(SUM($AD128:AE128)/SUM($AD126:$BG126)),IF(SUM($AD128:AE128)&gt;=$AD126," ",H9-(SUM($AD128:AE128)/(SUM($AD126:$BG126))))))</f>
        <v xml:space="preserve"> </v>
      </c>
      <c r="AF129" s="44" t="str">
        <f ca="1">IF(AF9&gt;WEEKNUM(TODAY())," ", IF(AF10="x",I9-(SUM($AD128:AF128)/SUM($AD126:$BG126)),IF(SUM($AD128:AF128)&gt;$AD126," ",I9-(SUM($AD128:AF128)/(SUM($AD126:$BG126))))))</f>
        <v xml:space="preserve"> </v>
      </c>
      <c r="AG129" s="44" t="str">
        <f ca="1">IF(AG9&gt;WEEKNUM(TODAY())," ", IF(AG10="x",J9-(SUM($AD128:AG128)/SUM($AD126:$BG126)),IF(SUM($AD128:AG128)&gt;$AD126," ",J9-(SUM($AD128:AG128)/(SUM($AD126:$BG126))))))</f>
        <v xml:space="preserve"> </v>
      </c>
      <c r="AH129" s="44" t="str">
        <f ca="1">IF(AH9&gt;WEEKNUM(TODAY())," ", IF(AH10="x",K9-(SUM($AD128:AH128)/SUM($AD126:$BG126)),IF(SUM($AD128:AH128)&gt;$AD126," ",K9-(SUM($AD128:AH128)/(SUM($AD126:$BG126))))))</f>
        <v xml:space="preserve"> </v>
      </c>
      <c r="AI129" s="44" t="str">
        <f ca="1">IF(AI9&gt;WEEKNUM(TODAY())," ", IF(AI10="x",L9-(SUM($AD128:AI128)/SUM($AD126:$BG126)),IF(SUM($AD128:AI128)&gt;$AD126," ",L9-(SUM($AD128:AI128)/(SUM($AD126:$BG126))))))</f>
        <v xml:space="preserve"> </v>
      </c>
      <c r="AJ129" s="44" t="str">
        <f ca="1">IF(AJ9&gt;WEEKNUM(TODAY())," ", IF(AJ10="x",M9-(SUM($AD128:AJ128)/SUM($AD126:$BG126)),IF(SUM($AD128:AJ128)&gt;$AD126," ",M9-(SUM($AD128:AJ128)/(SUM($AD126:$BG126))))))</f>
        <v xml:space="preserve"> </v>
      </c>
      <c r="AK129" s="44" t="str">
        <f ca="1">IF(AK9&gt;WEEKNUM(TODAY())," ", IF(AK10="x",N9-(SUM($AD128:AK128)/SUM($AD126:$BG126)),IF(SUM($AD128:AK128)&gt;$AD126," ",N9-(SUM($AD128:AK128)/(SUM($AD126:$BG126))))))</f>
        <v xml:space="preserve"> </v>
      </c>
      <c r="AL129" s="44" t="str">
        <f ca="1">IF(AL9&gt;WEEKNUM(TODAY())," ", IF(AL10="x",O9-(SUM($AD128:AL128)/SUM($AD126:$BG126)),IF(SUM($AD128:AL128)&gt;$AD126," ",O9-(SUM($AD128:AL128)/(SUM($AD126:$BG126))))))</f>
        <v xml:space="preserve"> </v>
      </c>
      <c r="AM129" s="44" t="str">
        <f ca="1">IF(AM9&gt;WEEKNUM(TODAY())," ", IF(AM10="x",P9-(SUM($AD128:AM128)/SUM($AD126:$BG126)),IF(SUM($AD128:AM128)&gt;$AD126," ",P9-(SUM($AD128:AM128)/(SUM($AD126:$BG126))))))</f>
        <v xml:space="preserve"> </v>
      </c>
      <c r="AN129" s="44" t="str">
        <f ca="1">IF(AN9&gt;WEEKNUM(TODAY())," ", IF(AN10="x",Q9-(SUM($AD128:AN128)/SUM($AD126:$BG126)),IF(SUM($AD128:AN128)&gt;$AD126," ",Q9-(SUM($AD128:AN128)/(SUM($AD126:$BG126))))))</f>
        <v xml:space="preserve"> </v>
      </c>
      <c r="AO129" s="44" t="str">
        <f ca="1">IF(AO9&gt;WEEKNUM(TODAY())," ", IF(AO10="x",R9-(SUM($AD128:AO128)/SUM($AD126:$BG126)),IF(SUM($AD128:AO128)&gt;$AD126," ",R9-(SUM($AD128:AO128)/(SUM($AD126:$BG126))))))</f>
        <v xml:space="preserve"> </v>
      </c>
      <c r="AP129" s="44" t="str">
        <f ca="1">IF(AP9&gt;WEEKNUM(TODAY())," ", IF(AP10="x",S9-(SUM($AD128:AP128)/SUM($AD126:$BG126)),IF(SUM($AD128:AP128)&gt;$AD126," ",S9-(SUM($AD128:AP128)/(SUM($AD126:$BG126))))))</f>
        <v xml:space="preserve"> </v>
      </c>
      <c r="AQ129" s="44" t="str">
        <f ca="1">IF(AQ9&gt;WEEKNUM(TODAY())," ", IF(AQ10="x",T9-(SUM($AD128:AQ128)/SUM($AD126:$BG126)),IF(SUM($AD128:AQ128)&gt;$AD126," ",T9-(SUM($AD128:AQ128)/(SUM($AD126:$BG126))))))</f>
        <v xml:space="preserve"> </v>
      </c>
      <c r="AR129" s="44" t="str">
        <f ca="1">IF(AR9&gt;WEEKNUM(TODAY())," ", IF(AR10="x",U9-(SUM($AD128:AR128)/SUM($AD126:$BG126)),IF(SUM($AD128:AR128)&gt;$AD126," ",U9-(SUM($AD128:AR128)/(SUM($AD126:$BG126))))))</f>
        <v xml:space="preserve"> </v>
      </c>
      <c r="AS129" s="44" t="str">
        <f ca="1">IF(AS9&gt;WEEKNUM(TODAY())," ", IF(AS10="x",V9-(SUM($AD128:AS128)/SUM($AD126:$BG126)),IF(SUM($AD128:AS128)&gt;$AD126," ",V9-(SUM($AD128:AS128)/(SUM($AD126:$BG126))))))</f>
        <v xml:space="preserve"> </v>
      </c>
      <c r="AT129" s="44" t="str">
        <f ca="1">IF(AT9&gt;WEEKNUM(TODAY())," ", IF(AT10="x",W9-(SUM($AD128:AT128)/SUM($AD126:$BG126)),IF(SUM($AD128:AT128)&gt;$AD126," ",W9-(SUM($AD128:AT128)/(SUM($AD126:$BG126))))))</f>
        <v xml:space="preserve"> </v>
      </c>
      <c r="AU129" s="44" t="str">
        <f ca="1">IF(AU9&gt;WEEKNUM(TODAY())," ", IF(AU10="x",X9-(SUM($AD128:AU128)/SUM($AD126:$BG126)),IF(SUM($AD128:AU128)&gt;$AD126," ",X9-(SUM($AD128:AU128)/(SUM($AD126:$BG126))))))</f>
        <v xml:space="preserve"> </v>
      </c>
      <c r="AV129" s="44" t="str">
        <f ca="1">IF(AV9&gt;WEEKNUM(TODAY())," ", IF(AV10="x",Y9-(SUM($AD128:AV128)/SUM($AD126:$BG126)),IF(SUM($AD128:AV128)&gt;$AD126," ",Y9-(SUM($AD128:AV128)/(SUM($AD126:$BG126))))))</f>
        <v xml:space="preserve"> </v>
      </c>
      <c r="AW129" s="44" t="str">
        <f ca="1">IF(AW9&gt;WEEKNUM(TODAY())," ", IF(AW10="x",Z9-(SUM($AD128:AW128)/SUM($AD126:$BG126)),IF(SUM($AD128:AW128)&gt;$AD126," ",Z9-(SUM($AD128:AW128)/(SUM($AD126:$BG126))))))</f>
        <v xml:space="preserve"> </v>
      </c>
      <c r="AX129" s="44" t="str">
        <f ca="1">IF(AX9&gt;WEEKNUM(TODAY())," ", IF(AX10="x",AA9-(SUM($AD128:AX128)/SUM($AD126:$BG126)),IF(SUM($AD128:AX128)&gt;$AD126," ",AA9-(SUM($AD128:AX128)/(SUM($AD126:$BG126))))))</f>
        <v xml:space="preserve"> </v>
      </c>
      <c r="AY129" s="44" t="str">
        <f ca="1">IF(AY9&gt;WEEKNUM(TODAY())," ", IF(AY10="x",AB9-(SUM($AD128:AY128)/SUM($AD126:$BG126)),IF(SUM($AD128:AY128)&gt;$AD126," ",AB9-(SUM($AD128:AY128)/(SUM($AD126:$BG126))))))</f>
        <v xml:space="preserve"> </v>
      </c>
      <c r="AZ129" s="44" t="str">
        <f ca="1">IF(AZ9&gt;WEEKNUM(TODAY())," ", IF(AZ10="x",AC9-(SUM($AD128:AZ128)/SUM($AD126:$BG126)),IF(SUM($AD128:AZ128)&gt;$AD126," ",AC9-(SUM($AD128:AZ128)/(SUM($AD126:$BG126))))))</f>
        <v xml:space="preserve"> </v>
      </c>
      <c r="BA129" s="44" t="str">
        <f ca="1">IF(BA9&gt;WEEKNUM(TODAY())," ", IF(BA10="x",AD9-(SUM($AD128:BA128)/SUM($AD126:$BG126)),IF(SUM($AD128:BA128)&gt;$AD126," ",AD9-(SUM($AD128:BA128)/(SUM($AD126:$BG126))))))</f>
        <v xml:space="preserve"> </v>
      </c>
      <c r="BB129" s="44" t="str">
        <f ca="1">IF(BB9&gt;WEEKNUM(TODAY())," ", IF(BB10="x",AE9-(SUM($AD128:BB128)/SUM($AD126:$BG126)),IF(SUM($AD128:BB128)&gt;$AD126," ",AE9-(SUM($AD128:BB128)/(SUM($AD126:$BG126))))))</f>
        <v xml:space="preserve"> </v>
      </c>
      <c r="BC129" s="44" t="str">
        <f ca="1">IF(BC9&gt;WEEKNUM(TODAY())," ", IF(BC10="x",AF9-(SUM($AD128:BC128)/SUM($AD126:$BG126)),IF(SUM($AD128:BC128)&gt;$AD126," ",AF9-(SUM($AD128:BC128)/(SUM($AD126:$BG126))))))</f>
        <v xml:space="preserve"> </v>
      </c>
      <c r="BD129" s="44" t="str">
        <f ca="1">IF(BD9&gt;WEEKNUM(TODAY())," ", IF(BD10="x",AG9-(SUM($AD128:BD128)/SUM($AD126:$BG126)),IF(SUM($AD128:BD128)&gt;$AD126," ",AG9-(SUM($AD128:BD128)/(SUM($AD126:$BG126))))))</f>
        <v xml:space="preserve"> </v>
      </c>
      <c r="BE129" s="44" t="str">
        <f ca="1">IF(BE9&gt;WEEKNUM(TODAY())," ", IF(BE10="x",AH9-(SUM($AD128:BE128)/SUM($AD126:$BG126)),IF(SUM($AD128:BE128)&gt;$AD126," ",AH9-(SUM($AD128:BE128)/(SUM($AD126:$BG126))))))</f>
        <v xml:space="preserve"> </v>
      </c>
      <c r="BF129" s="44" t="str">
        <f ca="1">IF(BF9&gt;WEEKNUM(TODAY())," ", IF(BF10="x",AI9-(SUM($AD128:BF128)/SUM($AD126:$BG126)),IF(SUM($AD128:BF128)&gt;$AD126," ",AI9-(SUM($AD128:BF128)/(SUM($AD126:$BG126))))))</f>
        <v xml:space="preserve"> </v>
      </c>
      <c r="BG129" s="44" t="str">
        <f ca="1">IF(BG9&gt;WEEKNUM(TODAY())," ", IF(BG10="x",AJ9-(SUM($AD128:BG128)/SUM($AD126:$BG126)),IF(SUM($AD128:BG128)&gt;$AD126," ",AJ9-(SUM($AD128:BG128)/(SUM($AD126:$BG126))))))</f>
        <v xml:space="preserve"> </v>
      </c>
      <c r="BH129" s="21"/>
    </row>
    <row r="130" spans="2:60" ht="16.2" thickBot="1" x14ac:dyDescent="0.35">
      <c r="B130" s="70"/>
      <c r="C130" s="79"/>
      <c r="D130" s="84"/>
      <c r="E130" s="57"/>
      <c r="F130" s="117"/>
      <c r="H130" s="49" t="str">
        <f>IF(H126= " ", " ",IF(H128&gt;SUM($H126:$BG126), " N/A", IF(SUM($H128:$BG128)=SUM($H126:BG126), " ", IF(H128=SUM($H126:BG126), " ", "x"))))</f>
        <v xml:space="preserve"> </v>
      </c>
      <c r="I130" s="50" t="str">
        <f>IF(SUM($H128:I128) &gt; SUM($H126:I126),  " N/A", IF(SUM($H128:$BG128) = SUM($H126:$BH126),    " ",IF(I128 = SUM($H126:$BH126),  " ",   "x")))</f>
        <v xml:space="preserve"> </v>
      </c>
      <c r="J130" s="50" t="str">
        <f>IF(SUM($H128:J128) &gt; SUM($H126:J126),  " N/A", IF(SUM($H128:$BG128) = SUM($H126:$BH126),    " ",IF(J128 = SUM($H126:$BH126),  " ",   "x")))</f>
        <v xml:space="preserve"> </v>
      </c>
      <c r="K130" s="50" t="str">
        <f>IF(SUM($H128:K128) &gt; SUM($H126:K126),  " N/A", IF(SUM($H128:$BG128) = SUM($H126:$BH126),    " ",IF(K128 = SUM($H126:$BH126),  " ",   "x")))</f>
        <v xml:space="preserve"> </v>
      </c>
      <c r="L130" s="50" t="str">
        <f>IF(SUM($H128:L128) &gt; SUM($H126:L126),  " N/A", IF(SUM($H128:$BG128) = SUM($H126:$BH126),    " ",IF(L128 = SUM($H126:$BH126),  " ",   "x")))</f>
        <v xml:space="preserve"> </v>
      </c>
      <c r="M130" s="50" t="str">
        <f>IF(SUM($H128:M128) &gt; SUM($H126:M126),  " N/A", IF(SUM($H128:$BG128) = SUM($H126:$BH126),    " ",IF(M128 = SUM($H126:$BH126),  " ",   "x")))</f>
        <v xml:space="preserve"> </v>
      </c>
      <c r="N130" s="50" t="str">
        <f>IF(SUM($H128:N128) &gt; SUM($H126:N126),  " N/A", IF(SUM($H128:$BG128) = SUM($H126:$BH126),    " ",IF(N128 = SUM($H126:$BH126),  " ",   "x")))</f>
        <v xml:space="preserve"> </v>
      </c>
      <c r="O130" s="50" t="str">
        <f>IF(SUM($H128:O128) &gt; SUM($H126:O126),  " N/A", IF(SUM($H128:$BG128) = SUM($H126:$BH126),    " ",IF(O128 = SUM($H126:$BH126),  " ",   "x")))</f>
        <v xml:space="preserve"> </v>
      </c>
      <c r="P130" s="50" t="str">
        <f>IF(SUM($H128:P128) &gt; SUM($H126:P126),  " N/A", IF(SUM($H128:$BG128) = SUM($H126:$BH126),    " ",IF(P128 = SUM($H126:$BH126),  " ",   "x")))</f>
        <v xml:space="preserve"> </v>
      </c>
      <c r="Q130" s="50" t="str">
        <f>IF(SUM($H128:Q128) &gt; SUM($H126:Q126),  " N/A", IF(SUM($H128:$BG128) = SUM($H126:$BH126),    " ",IF(Q128 = SUM($H126:$BH126),  " ",   "x")))</f>
        <v xml:space="preserve"> </v>
      </c>
      <c r="R130" s="50" t="str">
        <f>IF(SUM($H128:R128) &gt; SUM($H126:R126),  " N/A", IF(SUM($H128:$BG128) = SUM($H126:$BH126),    " ",IF(R128 = SUM($H126:$BH126),  " ",   "x")))</f>
        <v xml:space="preserve"> </v>
      </c>
      <c r="S130" s="50" t="str">
        <f>IF(SUM($H128:S128) &gt; SUM($H126:S126),  " N/A", IF(SUM($H128:$BG128) = SUM($H126:$BH126),    " ",IF(S128 = SUM($H126:$BH126),  " ",   "x")))</f>
        <v xml:space="preserve"> </v>
      </c>
      <c r="T130" s="50" t="str">
        <f>IF(SUM($H128:T128) &gt; SUM($H126:T126),  " N/A", IF(SUM($H128:$BG128) = SUM($H126:$BH126),    " ",IF(T128 = SUM($H126:$BH126),  " ",   "x")))</f>
        <v xml:space="preserve"> </v>
      </c>
      <c r="U130" s="50" t="str">
        <f>IF(SUM($H128:U128) &gt; SUM($H126:U126),  " N/A", IF(SUM($H128:$BG128) = SUM($H126:$BH126),    " ",IF(U128 = SUM($H126:$BH126),  " ",   "x")))</f>
        <v xml:space="preserve"> </v>
      </c>
      <c r="V130" s="50" t="str">
        <f>IF(SUM($H128:V128) &gt; SUM($H126:V126),  " N/A", IF(SUM($H128:$BG128) = SUM($H126:$BH126),    " ",IF(V128 = SUM($H126:$BH126),  " ",   "x")))</f>
        <v xml:space="preserve"> </v>
      </c>
      <c r="W130" s="50" t="str">
        <f>IF(SUM($H128:W128) &gt; SUM($H126:W126),  " N/A", IF(SUM($H128:$BG128) = SUM($H126:$BH126),    " ",IF(W128 = SUM($H126:$BH126),  " ",   "x")))</f>
        <v xml:space="preserve"> </v>
      </c>
      <c r="X130" s="50" t="str">
        <f>IF(SUM($H128:X128) &gt; SUM($H126:X126),  " N/A", IF(SUM($H128:$BG128) = SUM($H126:$BH126),    " ",IF(X128 = SUM($H126:$BH126),  " ",   "x")))</f>
        <v xml:space="preserve"> </v>
      </c>
      <c r="Y130" s="50" t="str">
        <f>IF(SUM($H128:Y128) &gt; SUM($H126:Y126),  " N/A", IF(SUM($H128:$BG128) = SUM($H126:$BH126),    " ",IF(Y128 = SUM($H126:$BH126),  " ",   "x")))</f>
        <v xml:space="preserve"> </v>
      </c>
      <c r="Z130" s="50" t="str">
        <f>IF(SUM($H128:Z128) &gt; SUM($H126:Z126),  " N/A", IF(SUM($H128:$BG128) = SUM($H126:$BH126),    " ",IF(Z128 = SUM($H126:$BH126),  " ",   "x")))</f>
        <v xml:space="preserve"> </v>
      </c>
      <c r="AA130" s="50" t="str">
        <f>IF(SUM($H128:AA128) &gt; SUM($H126:AA126),  " N/A", IF(SUM($H128:$BG128) = SUM($H126:$BH126),    " ",IF(AA128 = SUM($H126:$BH126),  " ",   "x")))</f>
        <v xml:space="preserve"> </v>
      </c>
      <c r="AB130" s="50" t="str">
        <f>IF(SUM($H128:AB128) &gt; SUM($H126:AB126),  " N/A", IF(SUM($H128:$BG128) = SUM($H126:$BH126),    " ",IF(AB128 = SUM($H126:$BH126),  " ",   "x")))</f>
        <v xml:space="preserve"> </v>
      </c>
      <c r="AC130" s="50" t="str">
        <f>IF(SUM($H128:AC128) &gt; SUM($H126:AC126),  " N/A", IF(SUM($H128:$BG128) = SUM($H126:$BH126),    " ",IF(AC128 = SUM($H126:$BH126),  " ",   "x")))</f>
        <v xml:space="preserve"> </v>
      </c>
      <c r="AD130" s="50" t="str">
        <f>IF(SUM($H128:AD128) &gt; SUM($H126:AD126),  " N/A", IF(SUM($H128:$BG128) = SUM($H126:$BH126),    " ",IF(AD128 = SUM($H126:$BH126),  " ",   "x")))</f>
        <v xml:space="preserve"> </v>
      </c>
      <c r="AE130" s="50" t="str">
        <f>IF(SUM($H128:AE128) &gt; SUM($H126:AE126),  " N/A", IF(SUM($H128:$BG128) = SUM($H126:$BH126),    " ",IF(AE128 = SUM($H126:$BH126),  " ",   "x")))</f>
        <v xml:space="preserve"> </v>
      </c>
      <c r="AF130" s="50" t="str">
        <f>IF(SUM($H128:AF128) &gt; SUM($H126:AF126),  " N/A", IF(SUM($H128:$BG128) = SUM($H126:$BH126),    " ",IF(AF128 = SUM($H126:$BH126),  " ",   "x")))</f>
        <v xml:space="preserve"> </v>
      </c>
      <c r="AG130" s="50" t="str">
        <f>IF(SUM($H128:AG128) &gt; SUM($H126:AG126),  " N/A", IF(SUM($H128:$BG128) = SUM($H126:$BH126),    " ",IF(AG128 = SUM($H126:$BH126),  " ",   "x")))</f>
        <v xml:space="preserve"> </v>
      </c>
      <c r="AH130" s="50" t="str">
        <f>IF(SUM($H128:AH128) &gt; SUM($H126:AH126),  " N/A", IF(SUM($H128:$BG128) = SUM($H126:$BH126),    " ",IF(AH128 = SUM($H126:$BH126),  " ",   "x")))</f>
        <v xml:space="preserve"> </v>
      </c>
      <c r="AI130" s="50" t="str">
        <f>IF(SUM($H128:AI128) &gt; SUM($H126:AI126),  " N/A", IF(SUM($H128:$BG128) = SUM($H126:$BH126),    " ",IF(AI128 = SUM($H126:$BH126),  " ",   "x")))</f>
        <v xml:space="preserve"> </v>
      </c>
      <c r="AJ130" s="50" t="str">
        <f>IF(SUM($H128:AJ128) &gt; SUM($H126:AJ126),  " N/A", IF(SUM($H128:$BG128) = SUM($H126:$BH126),    " ",IF(AJ128 = SUM($H126:$BH126),  " ",   "x")))</f>
        <v xml:space="preserve"> </v>
      </c>
      <c r="AK130" s="50" t="str">
        <f>IF(SUM($H128:AK128) &gt; SUM($H126:AK126),  " N/A", IF(SUM($H128:$BG128) = SUM($H126:$BH126),    " ",IF(AK128 = SUM($H126:$BH126),  " ",   "x")))</f>
        <v xml:space="preserve"> </v>
      </c>
      <c r="AL130" s="50" t="str">
        <f>IF(SUM($H128:AL128) &gt; SUM($H126:AL126),  " N/A", IF(SUM($H128:$BG128) = SUM($H126:$BH126),    " ",IF(AL128 = SUM($H126:$BH126),  " ",   "x")))</f>
        <v xml:space="preserve"> </v>
      </c>
      <c r="AM130" s="50" t="str">
        <f>IF(SUM($H128:AM128) &gt; SUM($H126:AM126),  " N/A", IF(SUM($H128:$BG128) = SUM($H126:$BH126),    " ",IF(AM128 = SUM($H126:$BH126),  " ",   "x")))</f>
        <v xml:space="preserve"> </v>
      </c>
      <c r="AN130" s="50" t="str">
        <f>IF(SUM($H128:AN128) &gt; SUM($H126:AN126),  " N/A", IF(SUM($H128:$BG128) = SUM($H126:$BH126),    " ",IF(AN128 = SUM($H126:$BH126),  " ",   "x")))</f>
        <v xml:space="preserve"> </v>
      </c>
      <c r="AO130" s="50" t="str">
        <f>IF(SUM($H128:AO128) &gt; SUM($H126:AO126),  " N/A", IF(SUM($H128:$BG128) = SUM($H126:$BH126),    " ",IF(AO128 = SUM($H126:$BH126),  " ",   "x")))</f>
        <v xml:space="preserve"> </v>
      </c>
      <c r="AP130" s="50" t="str">
        <f>IF(SUM($H128:AP128) &gt; SUM($H126:AP126),  " N/A", IF(SUM($H128:$BG128) = SUM($H126:$BH126),    " ",IF(AP128 = SUM($H126:$BH126),  " ",   "x")))</f>
        <v xml:space="preserve"> </v>
      </c>
      <c r="AQ130" s="50" t="str">
        <f>IF(SUM($H128:AQ128) &gt; SUM($H126:AQ126),  " N/A", IF(SUM($H128:$BG128) = SUM($H126:$BH126),    " ",IF(AQ128 = SUM($H126:$BH126),  " ",   "x")))</f>
        <v xml:space="preserve"> </v>
      </c>
      <c r="AR130" s="50" t="str">
        <f>IF(SUM($H128:AR128) &gt; SUM($H126:AR126),  " N/A", IF(SUM($H128:$BG128) = SUM($H126:$BH126),    " ",IF(AR128 = SUM($H126:$BH126),  " ",   "x")))</f>
        <v xml:space="preserve"> </v>
      </c>
      <c r="AS130" s="50" t="str">
        <f>IF(SUM($H128:AS128) &gt; SUM($H126:AS126),  " N/A", IF(SUM($H128:$BG128) = SUM($H126:$BH126),    " ",IF(AS128 = SUM($H126:$BH126),  " ",   "x")))</f>
        <v xml:space="preserve"> </v>
      </c>
      <c r="AT130" s="50" t="str">
        <f>IF(SUM($H128:AT128) &gt; SUM($H126:AT126),  " N/A", IF(SUM($H128:$BG128) = SUM($H126:$BH126),    " ",IF(AT128 = SUM($H126:$BH126),  " ",   "x")))</f>
        <v xml:space="preserve"> </v>
      </c>
      <c r="AU130" s="50" t="str">
        <f>IF(SUM($H128:AU128) &gt; SUM($H126:AU126),  " N/A", IF(SUM($H128:$BG128) = SUM($H126:$BH126),    " ",IF(AU128 = SUM($H126:$BH126),  " ",   "x")))</f>
        <v xml:space="preserve"> </v>
      </c>
      <c r="AV130" s="50" t="str">
        <f>IF(SUM($H128:AV128) &gt; SUM($H126:AV126),  " N/A", IF(SUM($H128:$BG128) = SUM($H126:$BH126),    " ",IF(AV128 = SUM($H126:$BH126),  " ",   "x")))</f>
        <v xml:space="preserve"> </v>
      </c>
      <c r="AW130" s="50" t="str">
        <f>IF(SUM($H128:AW128) &gt; SUM($H126:AW126),  " N/A", IF(SUM($H128:$BG128) = SUM($H126:$BH126),    " ",IF(AW128 = SUM($H126:$BH126),  " ",   "x")))</f>
        <v xml:space="preserve"> </v>
      </c>
      <c r="AX130" s="50" t="str">
        <f>IF(SUM($H128:AX128) &gt; SUM($H126:AX126),  " N/A", IF(SUM($H128:$BG128) = SUM($H126:$BH126),    " ",IF(AX128 = SUM($H126:$BH126),  " ",   "x")))</f>
        <v xml:space="preserve"> </v>
      </c>
      <c r="AY130" s="50" t="str">
        <f>IF(SUM($H128:AY128) &gt; SUM($H126:AY126),  " N/A", IF(SUM($H128:$BG128) = SUM($H126:$BH126),    " ",IF(AY128 = SUM($H126:$BH126),  " ",   "x")))</f>
        <v xml:space="preserve"> </v>
      </c>
      <c r="AZ130" s="50" t="str">
        <f>IF(SUM($H128:AZ128) &gt; SUM($H126:AZ126),  " N/A", IF(SUM($H128:$BG128) = SUM($H126:$BH126),    " ",IF(AZ128 = SUM($H126:$BH126),  " ",   "x")))</f>
        <v xml:space="preserve"> </v>
      </c>
      <c r="BA130" s="50" t="str">
        <f>IF(SUM($H128:BA128) &gt; SUM($H126:BA126),  " N/A", IF(SUM($H128:$BG128) = SUM($H126:$BH126),    " ",IF(BA128 = SUM($H126:$BH126),  " ",   "x")))</f>
        <v xml:space="preserve"> </v>
      </c>
      <c r="BB130" s="50" t="str">
        <f>IF(SUM($H128:BB128) &gt; SUM($H126:BB126),  " N/A", IF(SUM($H128:$BG128) = SUM($H126:$BH126),    " ",IF(BB128 = SUM($H126:$BH126),  " ",   "x")))</f>
        <v xml:space="preserve"> </v>
      </c>
      <c r="BC130" s="50" t="str">
        <f>IF(SUM($H128:BC128) &gt; SUM($H126:BC126),  " N/A", IF(SUM($H128:$BG128) = SUM($H126:$BH126),    " ",IF(BC128 = SUM($H126:$BH126),  " ",   "x")))</f>
        <v xml:space="preserve"> </v>
      </c>
      <c r="BD130" s="50" t="str">
        <f>IF(SUM($H128:BD128) &gt; SUM($H126:BD126),  " N/A", IF(SUM($H128:$BG128) = SUM($H126:$BH126),    " ",IF(BD128 = SUM($H126:$BH126),  " ",   "x")))</f>
        <v xml:space="preserve"> </v>
      </c>
      <c r="BE130" s="50" t="str">
        <f>IF(SUM($H128:BE128) &gt; SUM($H126:BE126),  " N/A", IF(SUM($H128:$BG128) = SUM($H126:$BH126),    " ",IF(BE128 = SUM($H126:$BH126),  " ",   "x")))</f>
        <v xml:space="preserve"> </v>
      </c>
      <c r="BF130" s="50" t="str">
        <f>IF(SUM($H128:BF128) &gt; SUM($H126:BF126),  " N/A", IF(SUM($H128:$BG128) = SUM($H126:$BH126),    " ",IF(BF128 = SUM($H126:$BH126),  " ",   "x")))</f>
        <v xml:space="preserve"> </v>
      </c>
      <c r="BG130" s="50" t="str">
        <f>IF(SUM($H128:BG128) &gt; SUM($H126:BG126),  " N/A", IF(SUM($H128:$BG128) = SUM($H126:$BH126),    " ",IF(BG128 = SUM($H126:$BH126),  " ",   "x")))</f>
        <v xml:space="preserve"> </v>
      </c>
      <c r="BH130" s="21"/>
    </row>
    <row r="131" spans="2:60" ht="15.6" x14ac:dyDescent="0.3">
      <c r="B131" s="71"/>
      <c r="C131" s="77"/>
      <c r="D131" s="82" t="s">
        <v>249</v>
      </c>
      <c r="E131" s="54">
        <f>SUM(H131:BG131)</f>
        <v>16</v>
      </c>
      <c r="F131" s="115">
        <f>Gant_24!$E131-E133</f>
        <v>0</v>
      </c>
      <c r="H131" s="41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>
        <v>16</v>
      </c>
      <c r="AE131" s="51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  <c r="BC131" s="42"/>
      <c r="BD131" s="42"/>
      <c r="BE131" s="42"/>
      <c r="BF131" s="42"/>
      <c r="BG131" s="42"/>
      <c r="BH131" s="21"/>
    </row>
    <row r="132" spans="2:60" ht="15.6" x14ac:dyDescent="0.3">
      <c r="B132" s="68"/>
      <c r="C132" s="78"/>
      <c r="D132" s="83" t="s">
        <v>261</v>
      </c>
      <c r="E132" s="55">
        <f>SUM(H132:BG132)</f>
        <v>0</v>
      </c>
      <c r="F132" s="116"/>
      <c r="H132" s="43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50"/>
      <c r="AF132" s="44"/>
      <c r="AG132" s="44"/>
      <c r="AH132" s="44"/>
      <c r="AI132" s="44"/>
      <c r="AJ132" s="44"/>
      <c r="AK132" s="44"/>
      <c r="AL132" s="44"/>
      <c r="AM132" s="44"/>
      <c r="AN132" s="44"/>
      <c r="AO132" s="44"/>
      <c r="AP132" s="44"/>
      <c r="AQ132" s="44"/>
      <c r="AR132" s="44"/>
      <c r="AS132" s="44"/>
      <c r="AT132" s="44"/>
      <c r="AU132" s="44"/>
      <c r="AV132" s="44"/>
      <c r="AW132" s="44"/>
      <c r="AX132" s="44"/>
      <c r="AY132" s="44"/>
      <c r="AZ132" s="44"/>
      <c r="BA132" s="44"/>
      <c r="BB132" s="44"/>
      <c r="BC132" s="44"/>
      <c r="BD132" s="44"/>
      <c r="BE132" s="44"/>
      <c r="BF132" s="44"/>
      <c r="BG132" s="44"/>
      <c r="BH132" s="21"/>
    </row>
    <row r="133" spans="2:60" ht="15.6" x14ac:dyDescent="0.3">
      <c r="B133" s="68" t="s">
        <v>126</v>
      </c>
      <c r="C133" s="78" t="s">
        <v>127</v>
      </c>
      <c r="D133" s="83" t="s">
        <v>241</v>
      </c>
      <c r="E133" s="55">
        <f>SUM(H133:BG133)</f>
        <v>16</v>
      </c>
      <c r="F133" s="116"/>
      <c r="H133" s="45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>
        <v>16</v>
      </c>
      <c r="AJ133" s="46"/>
      <c r="AK133" s="46"/>
      <c r="AL133" s="46"/>
      <c r="AM133" s="46"/>
      <c r="AN133" s="46"/>
      <c r="AO133" s="46"/>
      <c r="AP133" s="46"/>
      <c r="AQ133" s="46"/>
      <c r="AR133" s="46"/>
      <c r="AS133" s="46"/>
      <c r="AT133" s="46"/>
      <c r="AU133" s="46"/>
      <c r="AV133" s="46"/>
      <c r="AW133" s="46"/>
      <c r="AX133" s="46"/>
      <c r="AY133" s="46"/>
      <c r="AZ133" s="46"/>
      <c r="BA133" s="46"/>
      <c r="BB133" s="46"/>
      <c r="BC133" s="46"/>
      <c r="BD133" s="46"/>
      <c r="BE133" s="46"/>
      <c r="BF133" s="46"/>
      <c r="BG133" s="46"/>
      <c r="BH133" s="21"/>
    </row>
    <row r="134" spans="2:60" ht="15.6" x14ac:dyDescent="0.3">
      <c r="B134" s="68"/>
      <c r="C134" s="78"/>
      <c r="D134" s="83" t="s">
        <v>278</v>
      </c>
      <c r="E134" s="56">
        <f ca="1">MAX(H134:BG134)</f>
        <v>0</v>
      </c>
      <c r="F134" s="116"/>
      <c r="H134" s="47"/>
      <c r="I134" s="48"/>
      <c r="J134" s="48"/>
      <c r="K134" s="48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 t="str">
        <f>IF(SUM(H131:BG131) = AD133, " 0 ", " ")</f>
        <v xml:space="preserve"> </v>
      </c>
      <c r="AE134" s="44" t="str">
        <f ca="1">IF(AE9&gt;WEEKNUM(TODAY())," ", IF(AND(AE10="x",SUM($AD133:AE133)&gt;$AD131),H9-(SUM($AD133:AE133)/SUM($AD131:$BG131)),IF(SUM($AD133:AE133)&gt;$AD131," ",H9-(SUM($AD133:AE133)/(SUM($AD131:$BG131))))))</f>
        <v xml:space="preserve"> </v>
      </c>
      <c r="AF134" s="44" t="str">
        <f ca="1">IF(AF9&gt;WEEKNUM(TODAY())," ", IF(AND(AF10="x",SUM($AD133:AF133)&gt;$AD131),I9-(SUM($AD133:AF133)/SUM($AD131:$BG131)),IF(SUM($AD133:AF133)&gt;$AD131," ",I9-(SUM($AD133:AF133)/(SUM($AD131:$BG131))))))</f>
        <v xml:space="preserve"> </v>
      </c>
      <c r="AG134" s="44" t="str">
        <f ca="1">IF(AG9&gt;WEEKNUM(TODAY())," ", IF(AND(AG10="x",SUM($AD133:AG133)&gt;$AD131),J9-(SUM($AD133:AG133)/SUM($AD131:$BG131)),IF(SUM($AD133:AG133)&gt;$AD131," ",J9-(SUM($AD133:AG133)/(SUM($AD131:$BG131))))))</f>
        <v xml:space="preserve"> </v>
      </c>
      <c r="AH134" s="44" t="str">
        <f ca="1">IF(AH9&gt;WEEKNUM(TODAY())," ", IF(AND(AH10="x",SUM($AD133:AH133)&gt;$AD131),K9-(SUM($AD133:AH133)/SUM($AD131:$BG131)),IF(SUM($AD133:AH133)&gt;$AD131," ",K9-(SUM($AD133:AH133)/(SUM($AD131:$BG131))))))</f>
        <v xml:space="preserve"> </v>
      </c>
      <c r="AI134" s="44" t="str">
        <f ca="1">IF(AI9&gt;WEEKNUM(TODAY())," ", IF(AND(AI10="x",SUM($AD133:AI133)&gt;$AD131),L9-(SUM($AD133:AI133)/SUM($AD131:$BG131)),IF(SUM($AD133:AI133)&gt;$AD131," ",L9-(SUM($AD133:AI133)/(SUM($AD131:$BG131))))))</f>
        <v xml:space="preserve"> </v>
      </c>
      <c r="AJ134" s="44" t="str">
        <f ca="1">IF(AJ9&gt;WEEKNUM(TODAY())," ", IF(AND(AJ10="x",SUM($AD133:AJ133)&gt;$AD131),M9-(SUM($AD133:AJ133)/SUM($AD131:$BG131)),IF(SUM($AD133:AJ133)&gt;$AD131," ",M9-(SUM($AD133:AJ133)/(SUM($AD131:$BG131))))))</f>
        <v xml:space="preserve"> </v>
      </c>
      <c r="AK134" s="44" t="str">
        <f ca="1">IF(AK9&gt;WEEKNUM(TODAY())," ", IF(AND(AK10="x",SUM($AD133:AK133)&gt;$AD131),N9-(SUM($AD133:AK133)/SUM($AD131:$BG131)),IF(SUM($AD133:AK133)&gt;$AD131," ",N9-(SUM($AD133:AK133)/(SUM($AD131:$BG131))))))</f>
        <v xml:space="preserve"> </v>
      </c>
      <c r="AL134" s="44" t="str">
        <f ca="1">IF(AL9&gt;WEEKNUM(TODAY())," ", IF(AND(AL10="x",SUM($AD133:AL133)&gt;$AD131),O9-(SUM($AD133:AL133)/SUM($AD131:$BG131)),IF(SUM($AD133:AL133)&gt;$AD131," ",O9-(SUM($AD133:AL133)/(SUM($AD131:$BG131))))))</f>
        <v xml:space="preserve"> </v>
      </c>
      <c r="AM134" s="44" t="str">
        <f ca="1">IF(AM9&gt;WEEKNUM(TODAY())," ", IF(AND(AM10="x",SUM($AD133:AM133)&gt;$AD131),P9-(SUM($AD133:AM133)/SUM($AD131:$BG131)),IF(SUM($AD133:AM133)&gt;$AD131," ",P9-(SUM($AD133:AM133)/(SUM($AD131:$BG131))))))</f>
        <v xml:space="preserve"> </v>
      </c>
      <c r="AN134" s="44" t="str">
        <f ca="1">IF(AN9&gt;WEEKNUM(TODAY())," ", IF(AND(AN10="x",SUM($AD133:AN133)&gt;$AD131),Q9-(SUM($AD133:AN133)/SUM($AD131:$BG131)),IF(SUM($AD133:AN133)&gt;$AD131," ",Q9-(SUM($AD133:AN133)/(SUM($AD131:$BG131))))))</f>
        <v xml:space="preserve"> </v>
      </c>
      <c r="AO134" s="44" t="str">
        <f ca="1">IF(AO9&gt;WEEKNUM(TODAY())," ", IF(AND(AO10="x",SUM($AD133:AO133)&gt;$AD131),R9-(SUM($AD133:AO133)/SUM($AD131:$BG131)),IF(SUM($AD133:AO133)&gt;$AD131," ",R9-(SUM($AD133:AO133)/(SUM($AD131:$BG131))))))</f>
        <v xml:space="preserve"> </v>
      </c>
      <c r="AP134" s="44" t="str">
        <f ca="1">IF(AP9&gt;WEEKNUM(TODAY())," ", IF(AND(AP10="x",SUM($AD133:AP133)&gt;$AD131),S9-(SUM($AD133:AP133)/SUM($AD131:$BG131)),IF(SUM($AD133:AP133)&gt;$AD131," ",S9-(SUM($AD133:AP133)/(SUM($AD131:$BG131))))))</f>
        <v xml:space="preserve"> </v>
      </c>
      <c r="AQ134" s="44" t="str">
        <f ca="1">IF(AQ9&gt;WEEKNUM(TODAY())," ", IF(AND(AQ10="x",SUM($AD133:AQ133)&gt;$AD131),T9-(SUM($AD133:AQ133)/SUM($AD131:$BG131)),IF(SUM($AD133:AQ133)&gt;$AD131," ",T9-(SUM($AD133:AQ133)/(SUM($AD131:$BG131))))))</f>
        <v xml:space="preserve"> </v>
      </c>
      <c r="AR134" s="44" t="str">
        <f ca="1">IF(AR9&gt;WEEKNUM(TODAY())," ", IF(AND(AR10="x",SUM($AD133:AR133)&gt;$AD131),U9-(SUM($AD133:AR133)/SUM($AD131:$BG131)),IF(SUM($AD133:AR133)&gt;$AD131," ",U9-(SUM($AD133:AR133)/(SUM($AD131:$BG131))))))</f>
        <v xml:space="preserve"> </v>
      </c>
      <c r="AS134" s="44" t="str">
        <f ca="1">IF(AS9&gt;WEEKNUM(TODAY())," ", IF(AND(AS10="x",SUM($AD133:AS133)&gt;$AD131),V9-(SUM($AD133:AS133)/SUM($AD131:$BG131)),IF(SUM($AD133:AS133)&gt;$AD131," ",V9-(SUM($AD133:AS133)/(SUM($AD131:$BG131))))))</f>
        <v xml:space="preserve"> </v>
      </c>
      <c r="AT134" s="44" t="str">
        <f ca="1">IF(AT9&gt;WEEKNUM(TODAY())," ", IF(AND(AT10="x",SUM($AD133:AT133)&gt;$AD131),W9-(SUM($AD133:AT133)/SUM($AD131:$BG131)),IF(SUM($AD133:AT133)&gt;$AD131," ",W9-(SUM($AD133:AT133)/(SUM($AD131:$BG131))))))</f>
        <v xml:space="preserve"> </v>
      </c>
      <c r="AU134" s="44" t="str">
        <f ca="1">IF(AU9&gt;WEEKNUM(TODAY())," ", IF(AND(AU10="x",SUM($AD133:AU133)&gt;$AD131),X9-(SUM($AD133:AU133)/SUM($AD131:$BG131)),IF(SUM($AD133:AU133)&gt;$AD131," ",X9-(SUM($AD133:AU133)/(SUM($AD131:$BG131))))))</f>
        <v xml:space="preserve"> </v>
      </c>
      <c r="AV134" s="44" t="str">
        <f ca="1">IF(AV9&gt;WEEKNUM(TODAY())," ", IF(AND(AV10="x",SUM($AD133:AV133)&gt;$AD131),Y9-(SUM($AD133:AV133)/SUM($AD131:$BG131)),IF(SUM($AD133:AV133)&gt;$AD131," ",Y9-(SUM($AD133:AV133)/(SUM($AD131:$BG131))))))</f>
        <v xml:space="preserve"> </v>
      </c>
      <c r="AW134" s="44" t="str">
        <f ca="1">IF(AW9&gt;WEEKNUM(TODAY())," ", IF(AND(AW10="x",SUM($AD133:AW133)&gt;$AD131),Z9-(SUM($AD133:AW133)/SUM($AD131:$BG131)),IF(SUM($AD133:AW133)&gt;$AD131," ",Z9-(SUM($AD133:AW133)/(SUM($AD131:$BG131))))))</f>
        <v xml:space="preserve"> </v>
      </c>
      <c r="AX134" s="44" t="str">
        <f ca="1">IF(AX9&gt;WEEKNUM(TODAY())," ", IF(AND(AX10="x",SUM($AD133:AX133)&gt;$AD131),AA9-(SUM($AD133:AX133)/SUM($AD131:$BG131)),IF(SUM($AD133:AX133)&gt;$AD131," ",AA9-(SUM($AD133:AX133)/(SUM($AD131:$BG131))))))</f>
        <v xml:space="preserve"> </v>
      </c>
      <c r="AY134" s="44" t="str">
        <f ca="1">IF(AY9&gt;WEEKNUM(TODAY())," ", IF(AND(AY10="x",SUM($AD133:AY133)&gt;$AD131),AB9-(SUM($AD133:AY133)/SUM($AD131:$BG131)),IF(SUM($AD133:AY133)&gt;$AD131," ",AB9-(SUM($AD133:AY133)/(SUM($AD131:$BG131))))))</f>
        <v xml:space="preserve"> </v>
      </c>
      <c r="AZ134" s="44" t="str">
        <f ca="1">IF(AZ9&gt;WEEKNUM(TODAY())," ", IF(AND(AZ10="x",SUM($AD133:AZ133)&gt;$AD131),AC9-(SUM($AD133:AZ133)/SUM($AD131:$BG131)),IF(SUM($AD133:AZ133)&gt;$AD131," ",AC9-(SUM($AD133:AZ133)/(SUM($AD131:$BG131))))))</f>
        <v xml:space="preserve"> </v>
      </c>
      <c r="BA134" s="44" t="str">
        <f ca="1">IF(BA9&gt;WEEKNUM(TODAY())," ", IF(AND(BA10="x",SUM($AD133:BA133)&gt;$AD131),AD9-(SUM($AD133:BA133)/SUM($AD131:$BG131)),IF(SUM($AD133:BA133)&gt;$AD131," ",AD9-(SUM($AD133:BA133)/(SUM($AD131:$BG131))))))</f>
        <v xml:space="preserve"> </v>
      </c>
      <c r="BB134" s="44" t="str">
        <f ca="1">IF(BB9&gt;WEEKNUM(TODAY())," ", IF(AND(BB10="x",SUM($AD133:BB133)&gt;$AD131),AE9-(SUM($AD133:BB133)/SUM($AD131:$BG131)),IF(SUM($AD133:BB133)&gt;$AD131," ",AE9-(SUM($AD133:BB133)/(SUM($AD131:$BG131))))))</f>
        <v xml:space="preserve"> </v>
      </c>
      <c r="BC134" s="44" t="str">
        <f ca="1">IF(BC9&gt;WEEKNUM(TODAY())," ", IF(AND(BC10="x",SUM($AD133:BC133)&gt;$AD131),AF9-(SUM($AD133:BC133)/SUM($AD131:$BG131)),IF(SUM($AD133:BC133)&gt;$AD131," ",AF9-(SUM($AD133:BC133)/(SUM($AD131:$BG131))))))</f>
        <v xml:space="preserve"> </v>
      </c>
      <c r="BD134" s="44" t="str">
        <f ca="1">IF(BD9&gt;WEEKNUM(TODAY())," ", IF(AND(BD10="x",SUM($AD133:BD133)&gt;$AD131),AG9-(SUM($AD133:BD133)/SUM($AD131:$BG131)),IF(SUM($AD133:BD133)&gt;$AD131," ",AG9-(SUM($AD133:BD133)/(SUM($AD131:$BG131))))))</f>
        <v xml:space="preserve"> </v>
      </c>
      <c r="BE134" s="44" t="str">
        <f ca="1">IF(BE9&gt;WEEKNUM(TODAY())," ", IF(AND(BE10="x",SUM($AD133:BE133)&gt;$AD131),AH9-(SUM($AD133:BE133)/SUM($AD131:$BG131)),IF(SUM($AD133:BE133)&gt;$AD131," ",AH9-(SUM($AD133:BE133)/(SUM($AD131:$BG131))))))</f>
        <v xml:space="preserve"> </v>
      </c>
      <c r="BF134" s="44" t="str">
        <f ca="1">IF(BF9&gt;WEEKNUM(TODAY())," ", IF(AND(BF10="x",SUM($AD133:BF133)&gt;$AD131),AI9-(SUM($AD133:BF133)/SUM($AD131:$BG131)),IF(SUM($AD133:BF133)&gt;$AD131," ",AI9-(SUM($AD133:BF133)/(SUM($AD131:$BG131))))))</f>
        <v xml:space="preserve"> </v>
      </c>
      <c r="BG134" s="44" t="str">
        <f ca="1">IF(BG9&gt;WEEKNUM(TODAY())," ", IF(AND(BG10="x",SUM($AD133:BG133)&gt;$AD131),AJ9-(SUM($AD133:BG133)/SUM($AD131:$BG131)),IF(SUM($AD133:BG133)&gt;$AD131," ",AJ9-(SUM($AD133:BG133)/(SUM($AD131:$BG131))))))</f>
        <v xml:space="preserve"> </v>
      </c>
      <c r="BH134"/>
    </row>
    <row r="135" spans="2:60" ht="16.2" thickBot="1" x14ac:dyDescent="0.35">
      <c r="B135" s="70"/>
      <c r="C135" s="79"/>
      <c r="D135" s="84"/>
      <c r="E135" s="57"/>
      <c r="F135" s="117"/>
      <c r="H135" s="49" t="str">
        <f>IF(H131= " ", " ",IF(H133&gt;SUM($H131:$BG131), " N/A", IF(SUM($H133:$BG133)=SUM($H131:BG131), " ", IF(H133=SUM($H131:BG131), " ", "x"))))</f>
        <v xml:space="preserve"> </v>
      </c>
      <c r="I135" s="50" t="str">
        <f>IF(SUM($H133:I133) &gt; SUM($H131:I131),  " N/A", IF(SUM($H133:$BG133) = SUM($H131:$BH131),    " ",IF(I133 = SUM($H131:$BH131),  " ",   "x")))</f>
        <v xml:space="preserve"> </v>
      </c>
      <c r="J135" s="50" t="str">
        <f>IF(SUM($H133:J133) &gt; SUM($H131:J131),  " N/A", IF(SUM($H133:$BG133) = SUM($H131:$BH131),    " ",IF(J133 = SUM($H131:$BH131),  " ",   "x")))</f>
        <v xml:space="preserve"> </v>
      </c>
      <c r="K135" s="50" t="str">
        <f>IF(SUM($H133:K133) &gt; SUM($H131:K131),  " N/A", IF(SUM($H133:$BG133) = SUM($H131:$BH131),    " ",IF(K133 = SUM($H131:$BH131),  " ",   "x")))</f>
        <v xml:space="preserve"> </v>
      </c>
      <c r="L135" s="50" t="str">
        <f>IF(SUM($H133:L133) &gt; SUM($H131:L131),  " N/A", IF(SUM($H133:$BG133) = SUM($H131:$BH131),    " ",IF(L133 = SUM($H131:$BH131),  " ",   "x")))</f>
        <v xml:space="preserve"> </v>
      </c>
      <c r="M135" s="50" t="str">
        <f>IF(SUM($H133:M133) &gt; SUM($H131:M131),  " N/A", IF(SUM($H133:$BG133) = SUM($H131:$BH131),    " ",IF(M133 = SUM($H131:$BH131),  " ",   "x")))</f>
        <v xml:space="preserve"> </v>
      </c>
      <c r="N135" s="50" t="str">
        <f>IF(SUM($H133:N133) &gt; SUM($H131:N131),  " N/A", IF(SUM($H133:$BG133) = SUM($H131:$BH131),    " ",IF(N133 = SUM($H131:$BH131),  " ",   "x")))</f>
        <v xml:space="preserve"> </v>
      </c>
      <c r="O135" s="50" t="str">
        <f>IF(SUM($H133:O133) &gt; SUM($H131:O131),  " N/A", IF(SUM($H133:$BG133) = SUM($H131:$BH131),    " ",IF(O133 = SUM($H131:$BH131),  " ",   "x")))</f>
        <v xml:space="preserve"> </v>
      </c>
      <c r="P135" s="50" t="str">
        <f>IF(SUM($H133:P133) &gt; SUM($H131:P131),  " N/A", IF(SUM($H133:$BG133) = SUM($H131:$BH131),    " ",IF(P133 = SUM($H131:$BH131),  " ",   "x")))</f>
        <v xml:space="preserve"> </v>
      </c>
      <c r="Q135" s="50" t="str">
        <f>IF(SUM($H133:Q133) &gt; SUM($H131:Q131),  " N/A", IF(SUM($H133:$BG133) = SUM($H131:$BH131),    " ",IF(Q133 = SUM($H131:$BH131),  " ",   "x")))</f>
        <v xml:space="preserve"> </v>
      </c>
      <c r="R135" s="50" t="str">
        <f>IF(SUM($H133:R133) &gt; SUM($H131:R131),  " N/A", IF(SUM($H133:$BG133) = SUM($H131:$BH131),    " ",IF(R133 = SUM($H131:$BH131),  " ",   "x")))</f>
        <v xml:space="preserve"> </v>
      </c>
      <c r="S135" s="50" t="str">
        <f>IF(SUM($H133:S133) &gt; SUM($H131:S131),  " N/A", IF(SUM($H133:$BG133) = SUM($H131:$BH131),    " ",IF(S133 = SUM($H131:$BH131),  " ",   "x")))</f>
        <v xml:space="preserve"> </v>
      </c>
      <c r="T135" s="50" t="str">
        <f>IF(SUM($H133:T133) &gt; SUM($H131:T131),  " N/A", IF(SUM($H133:$BG133) = SUM($H131:$BH131),    " ",IF(T133 = SUM($H131:$BH131),  " ",   "x")))</f>
        <v xml:space="preserve"> </v>
      </c>
      <c r="U135" s="50" t="str">
        <f>IF(SUM($H133:U133) &gt; SUM($H131:U131),  " N/A", IF(SUM($H133:$BG133) = SUM($H131:$BH131),    " ",IF(U133 = SUM($H131:$BH131),  " ",   "x")))</f>
        <v xml:space="preserve"> </v>
      </c>
      <c r="V135" s="50" t="str">
        <f>IF(SUM($H133:V133) &gt; SUM($H131:V131),  " N/A", IF(SUM($H133:$BG133) = SUM($H131:$BH131),    " ",IF(V133 = SUM($H131:$BH131),  " ",   "x")))</f>
        <v xml:space="preserve"> </v>
      </c>
      <c r="W135" s="50" t="str">
        <f>IF(SUM($H133:W133) &gt; SUM($H131:W131),  " N/A", IF(SUM($H133:$BG133) = SUM($H131:$BH131),    " ",IF(W133 = SUM($H131:$BH131),  " ",   "x")))</f>
        <v xml:space="preserve"> </v>
      </c>
      <c r="X135" s="50" t="str">
        <f>IF(SUM($H133:X133) &gt; SUM($H131:X131),  " N/A", IF(SUM($H133:$BG133) = SUM($H131:$BH131),    " ",IF(X133 = SUM($H131:$BH131),  " ",   "x")))</f>
        <v xml:space="preserve"> </v>
      </c>
      <c r="Y135" s="50" t="str">
        <f>IF(SUM($H133:Y133) &gt; SUM($H131:Y131),  " N/A", IF(SUM($H133:$BG133) = SUM($H131:$BH131),    " ",IF(Y133 = SUM($H131:$BH131),  " ",   "x")))</f>
        <v xml:space="preserve"> </v>
      </c>
      <c r="Z135" s="50" t="str">
        <f>IF(SUM($H133:Z133) &gt; SUM($H131:Z131),  " N/A", IF(SUM($H133:$BG133) = SUM($H131:$BH131),    " ",IF(Z133 = SUM($H131:$BH131),  " ",   "x")))</f>
        <v xml:space="preserve"> </v>
      </c>
      <c r="AA135" s="50" t="str">
        <f>IF(SUM($H133:AA133) &gt; SUM($H131:AA131),  " N/A", IF(SUM($H133:$BG133) = SUM($H131:$BH131),    " ",IF(AA133 = SUM($H131:$BH131),  " ",   "x")))</f>
        <v xml:space="preserve"> </v>
      </c>
      <c r="AB135" s="50" t="str">
        <f>IF(SUM($H133:AB133) &gt; SUM($H131:AB131),  " N/A", IF(SUM($H133:$BG133) = SUM($H131:$BH131),    " ",IF(AB133 = SUM($H131:$BH131),  " ",   "x")))</f>
        <v xml:space="preserve"> </v>
      </c>
      <c r="AC135" s="50" t="str">
        <f>IF(SUM($H133:AC133) &gt; SUM($H131:AC131),  " N/A", IF(SUM($H133:$BG133) = SUM($H131:$BH131),    " ",IF(AC133 = SUM($H131:$BH131),  " ",   "x")))</f>
        <v xml:space="preserve"> </v>
      </c>
      <c r="AD135" s="50" t="str">
        <f>IF(SUM($H133:AD133) &gt; SUM($H131:AD131),  " N/A", IF(SUM($H133:$BG133) = SUM($H131:$BH131),    " ",IF(AD133 = SUM($H131:$BH131),  " ",   "x")))</f>
        <v xml:space="preserve"> </v>
      </c>
      <c r="AE135" s="50" t="str">
        <f>IF(SUM($H133:AE133) &gt; SUM($H131:AE131),  " N/A", IF(SUM($H133:$BG133) = SUM($H131:$BH131),    " ",IF(AE133 = SUM($H131:$BH131),  " ",   "x")))</f>
        <v xml:space="preserve"> </v>
      </c>
      <c r="AF135" s="50" t="str">
        <f>IF(SUM($H133:AF133) &gt; SUM($H131:AF131),  " N/A", IF(SUM($H133:$BG133) = SUM($H131:$BH131),    " ",IF(AF133 = SUM($H131:$BH131),  " ",   "x")))</f>
        <v xml:space="preserve"> </v>
      </c>
      <c r="AG135" s="50" t="str">
        <f>IF(SUM($H133:AG133) &gt; SUM($H131:AG131),  " N/A", IF(SUM($H133:$BG133) = SUM($H131:$BH131),    " ",IF(AG133 = SUM($H131:$BH131),  " ",   "x")))</f>
        <v xml:space="preserve"> </v>
      </c>
      <c r="AH135" s="50" t="str">
        <f>IF(SUM($H133:AH133) &gt; SUM($H131:AH131),  " N/A", IF(SUM($H133:$BG133) = SUM($H131:$BH131),    " ",IF(AH133 = SUM($H131:$BH131),  " ",   "x")))</f>
        <v xml:space="preserve"> </v>
      </c>
      <c r="AI135" s="50" t="str">
        <f>IF(SUM($H133:AI133) &gt; SUM($H131:AI131),  " N/A", IF(SUM($H133:$BG133) = SUM($H131:$BH131),    " ",IF(AI133 = SUM($H131:$BH131),  " ",   "x")))</f>
        <v xml:space="preserve"> </v>
      </c>
      <c r="AJ135" s="50" t="str">
        <f>IF(SUM($H133:AJ133) &gt; SUM($H131:AJ131),  " N/A", IF(SUM($H133:$BG133) = SUM($H131:$BH131),    " ",IF(AJ133 = SUM($H131:$BH131),  " ",   "x")))</f>
        <v xml:space="preserve"> </v>
      </c>
      <c r="AK135" s="50" t="str">
        <f>IF(SUM($H133:AK133) &gt; SUM($H131:AK131),  " N/A", IF(SUM($H133:$BG133) = SUM($H131:$BH131),    " ",IF(AK133 = SUM($H131:$BH131),  " ",   "x")))</f>
        <v xml:space="preserve"> </v>
      </c>
      <c r="AL135" s="50" t="str">
        <f>IF(SUM($H133:AL133) &gt; SUM($H131:AL131),  " N/A", IF(SUM($H133:$BG133) = SUM($H131:$BH131),    " ",IF(AL133 = SUM($H131:$BH131),  " ",   "x")))</f>
        <v xml:space="preserve"> </v>
      </c>
      <c r="AM135" s="50" t="str">
        <f>IF(SUM($H133:AM133) &gt; SUM($H131:AM131),  " N/A", IF(SUM($H133:$BG133) = SUM($H131:$BH131),    " ",IF(AM133 = SUM($H131:$BH131),  " ",   "x")))</f>
        <v xml:space="preserve"> </v>
      </c>
      <c r="AN135" s="50" t="str">
        <f>IF(SUM($H133:AN133) &gt; SUM($H131:AN131),  " N/A", IF(SUM($H133:$BG133) = SUM($H131:$BH131),    " ",IF(AN133 = SUM($H131:$BH131),  " ",   "x")))</f>
        <v xml:space="preserve"> </v>
      </c>
      <c r="AO135" s="50" t="str">
        <f>IF(SUM($H133:AO133) &gt; SUM($H131:AO131),  " N/A", IF(SUM($H133:$BG133) = SUM($H131:$BH131),    " ",IF(AO133 = SUM($H131:$BH131),  " ",   "x")))</f>
        <v xml:space="preserve"> </v>
      </c>
      <c r="AP135" s="50" t="str">
        <f>IF(SUM($H133:AP133) &gt; SUM($H131:AP131),  " N/A", IF(SUM($H133:$BG133) = SUM($H131:$BH131),    " ",IF(AP133 = SUM($H131:$BH131),  " ",   "x")))</f>
        <v xml:space="preserve"> </v>
      </c>
      <c r="AQ135" s="50" t="str">
        <f>IF(SUM($H133:AQ133) &gt; SUM($H131:AQ131),  " N/A", IF(SUM($H133:$BG133) = SUM($H131:$BH131),    " ",IF(AQ133 = SUM($H131:$BH131),  " ",   "x")))</f>
        <v xml:space="preserve"> </v>
      </c>
      <c r="AR135" s="50" t="str">
        <f>IF(SUM($H133:AR133) &gt; SUM($H131:AR131),  " N/A", IF(SUM($H133:$BG133) = SUM($H131:$BH131),    " ",IF(AR133 = SUM($H131:$BH131),  " ",   "x")))</f>
        <v xml:space="preserve"> </v>
      </c>
      <c r="AS135" s="50" t="str">
        <f>IF(SUM($H133:AS133) &gt; SUM($H131:AS131),  " N/A", IF(SUM($H133:$BG133) = SUM($H131:$BH131),    " ",IF(AS133 = SUM($H131:$BH131),  " ",   "x")))</f>
        <v xml:space="preserve"> </v>
      </c>
      <c r="AT135" s="50" t="str">
        <f>IF(SUM($H133:AT133) &gt; SUM($H131:AT131),  " N/A", IF(SUM($H133:$BG133) = SUM($H131:$BH131),    " ",IF(AT133 = SUM($H131:$BH131),  " ",   "x")))</f>
        <v xml:space="preserve"> </v>
      </c>
      <c r="AU135" s="50" t="str">
        <f>IF(SUM($H133:AU133) &gt; SUM($H131:AU131),  " N/A", IF(SUM($H133:$BG133) = SUM($H131:$BH131),    " ",IF(AU133 = SUM($H131:$BH131),  " ",   "x")))</f>
        <v xml:space="preserve"> </v>
      </c>
      <c r="AV135" s="50" t="str">
        <f>IF(SUM($H133:AV133) &gt; SUM($H131:AV131),  " N/A", IF(SUM($H133:$BG133) = SUM($H131:$BH131),    " ",IF(AV133 = SUM($H131:$BH131),  " ",   "x")))</f>
        <v xml:space="preserve"> </v>
      </c>
      <c r="AW135" s="50" t="str">
        <f>IF(SUM($H133:AW133) &gt; SUM($H131:AW131),  " N/A", IF(SUM($H133:$BG133) = SUM($H131:$BH131),    " ",IF(AW133 = SUM($H131:$BH131),  " ",   "x")))</f>
        <v xml:space="preserve"> </v>
      </c>
      <c r="AX135" s="50" t="str">
        <f>IF(SUM($H133:AX133) &gt; SUM($H131:AX131),  " N/A", IF(SUM($H133:$BG133) = SUM($H131:$BH131),    " ",IF(AX133 = SUM($H131:$BH131),  " ",   "x")))</f>
        <v xml:space="preserve"> </v>
      </c>
      <c r="AY135" s="50" t="str">
        <f>IF(SUM($H133:AY133) &gt; SUM($H131:AY131),  " N/A", IF(SUM($H133:$BG133) = SUM($H131:$BH131),    " ",IF(AY133 = SUM($H131:$BH131),  " ",   "x")))</f>
        <v xml:space="preserve"> </v>
      </c>
      <c r="AZ135" s="50" t="str">
        <f>IF(SUM($H133:AZ133) &gt; SUM($H131:AZ131),  " N/A", IF(SUM($H133:$BG133) = SUM($H131:$BH131),    " ",IF(AZ133 = SUM($H131:$BH131),  " ",   "x")))</f>
        <v xml:space="preserve"> </v>
      </c>
      <c r="BA135" s="50" t="str">
        <f>IF(SUM($H133:BA133) &gt; SUM($H131:BA131),  " N/A", IF(SUM($H133:$BG133) = SUM($H131:$BH131),    " ",IF(BA133 = SUM($H131:$BH131),  " ",   "x")))</f>
        <v xml:space="preserve"> </v>
      </c>
      <c r="BB135" s="50" t="str">
        <f>IF(SUM($H133:BB133) &gt; SUM($H131:BB131),  " N/A", IF(SUM($H133:$BG133) = SUM($H131:$BH131),    " ",IF(BB133 = SUM($H131:$BH131),  " ",   "x")))</f>
        <v xml:space="preserve"> </v>
      </c>
      <c r="BC135" s="50" t="str">
        <f>IF(SUM($H133:BC133) &gt; SUM($H131:BC131),  " N/A", IF(SUM($H133:$BG133) = SUM($H131:$BH131),    " ",IF(BC133 = SUM($H131:$BH131),  " ",   "x")))</f>
        <v xml:space="preserve"> </v>
      </c>
      <c r="BD135" s="50" t="str">
        <f>IF(SUM($H133:BD133) &gt; SUM($H131:BD131),  " N/A", IF(SUM($H133:$BG133) = SUM($H131:$BH131),    " ",IF(BD133 = SUM($H131:$BH131),  " ",   "x")))</f>
        <v xml:space="preserve"> </v>
      </c>
      <c r="BE135" s="50" t="str">
        <f>IF(SUM($H133:BE133) &gt; SUM($H131:BE131),  " N/A", IF(SUM($H133:$BG133) = SUM($H131:$BH131),    " ",IF(BE133 = SUM($H131:$BH131),  " ",   "x")))</f>
        <v xml:space="preserve"> </v>
      </c>
      <c r="BF135" s="50" t="str">
        <f>IF(SUM($H133:BF133) &gt; SUM($H131:BF131),  " N/A", IF(SUM($H133:$BG133) = SUM($H131:$BH131),    " ",IF(BF133 = SUM($H131:$BH131),  " ",   "x")))</f>
        <v xml:space="preserve"> </v>
      </c>
      <c r="BG135" s="50" t="str">
        <f>IF(SUM($H133:BG133) &gt; SUM($H131:BG131),  " N/A", IF(SUM($H133:$BG133) = SUM($H131:$BH131),    " ",IF(BG133 = SUM($H131:$BH131),  " ",   "x")))</f>
        <v xml:space="preserve"> </v>
      </c>
      <c r="BH135" s="21"/>
    </row>
    <row r="136" spans="2:60" ht="15.6" x14ac:dyDescent="0.3">
      <c r="B136" s="71"/>
      <c r="C136" s="77"/>
      <c r="D136" s="82" t="s">
        <v>249</v>
      </c>
      <c r="E136" s="54">
        <f>SUM(H136:BG136)</f>
        <v>24</v>
      </c>
      <c r="F136" s="115">
        <f>Gant_24!$E136-E138</f>
        <v>24</v>
      </c>
      <c r="H136" s="41"/>
      <c r="I136" s="42"/>
      <c r="J136" s="42"/>
      <c r="K136" s="42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51">
        <v>24</v>
      </c>
      <c r="AC136" s="51"/>
      <c r="AD136" s="51"/>
      <c r="AE136" s="51"/>
      <c r="AF136" s="51"/>
      <c r="AG136" s="51"/>
      <c r="AH136" s="51"/>
      <c r="AI136" s="51"/>
      <c r="AJ136" s="51"/>
      <c r="AK136" s="51"/>
      <c r="AL136" s="51"/>
      <c r="AM136" s="51"/>
      <c r="AN136" s="51"/>
      <c r="AO136" s="51"/>
      <c r="AP136" s="51"/>
      <c r="AQ136" s="51"/>
      <c r="AR136" s="51"/>
      <c r="AS136" s="51"/>
      <c r="AT136" s="51"/>
      <c r="AU136" s="51"/>
      <c r="AV136" s="51"/>
      <c r="AW136" s="51"/>
      <c r="AX136" s="51"/>
      <c r="AY136" s="51"/>
      <c r="AZ136" s="51"/>
      <c r="BA136" s="51"/>
      <c r="BB136" s="51"/>
      <c r="BC136" s="51"/>
      <c r="BD136" s="51"/>
      <c r="BE136" s="51"/>
      <c r="BF136" s="51"/>
      <c r="BG136" s="51"/>
      <c r="BH136" s="21"/>
    </row>
    <row r="137" spans="2:60" ht="15.6" x14ac:dyDescent="0.3">
      <c r="B137" s="68"/>
      <c r="C137" s="78"/>
      <c r="D137" s="83" t="s">
        <v>261</v>
      </c>
      <c r="E137" s="55">
        <f>SUM(H137:BG137)</f>
        <v>8</v>
      </c>
      <c r="F137" s="116"/>
      <c r="H137" s="43"/>
      <c r="I137" s="44"/>
      <c r="J137" s="44"/>
      <c r="K137" s="44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44"/>
      <c r="AB137" s="44"/>
      <c r="AC137" s="44"/>
      <c r="AD137" s="44"/>
      <c r="AE137" s="44">
        <v>8</v>
      </c>
      <c r="AF137" s="44"/>
      <c r="AG137" s="44"/>
      <c r="AH137" s="44"/>
      <c r="AI137" s="44"/>
      <c r="AJ137" s="44"/>
      <c r="AK137" s="44"/>
      <c r="AL137" s="44"/>
      <c r="AM137" s="44"/>
      <c r="AN137" s="44"/>
      <c r="AO137" s="44"/>
      <c r="AP137" s="44"/>
      <c r="AQ137" s="44"/>
      <c r="AR137" s="44"/>
      <c r="AS137" s="44"/>
      <c r="AT137" s="44"/>
      <c r="AU137" s="44"/>
      <c r="AV137" s="44"/>
      <c r="AW137" s="44"/>
      <c r="AX137" s="44"/>
      <c r="AY137" s="44"/>
      <c r="AZ137" s="44"/>
      <c r="BA137" s="44"/>
      <c r="BB137" s="44"/>
      <c r="BC137" s="44"/>
      <c r="BD137" s="44"/>
      <c r="BE137" s="44"/>
      <c r="BF137" s="44"/>
      <c r="BG137" s="44"/>
      <c r="BH137" s="21"/>
    </row>
    <row r="138" spans="2:60" ht="15.6" x14ac:dyDescent="0.3">
      <c r="B138" s="68" t="s">
        <v>129</v>
      </c>
      <c r="C138" s="78" t="s">
        <v>130</v>
      </c>
      <c r="D138" s="83" t="s">
        <v>241</v>
      </c>
      <c r="E138" s="55">
        <f>SUM(H138:BG138)</f>
        <v>0</v>
      </c>
      <c r="F138" s="116"/>
      <c r="H138" s="45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  <c r="AO138" s="46"/>
      <c r="AP138" s="46"/>
      <c r="AQ138" s="46"/>
      <c r="AR138" s="46"/>
      <c r="AS138" s="46"/>
      <c r="AT138" s="46"/>
      <c r="AU138" s="46"/>
      <c r="AV138" s="46"/>
      <c r="AW138" s="46"/>
      <c r="AX138" s="46"/>
      <c r="AY138" s="46"/>
      <c r="AZ138" s="46"/>
      <c r="BA138" s="46"/>
      <c r="BB138" s="46"/>
      <c r="BC138" s="46"/>
      <c r="BD138" s="46"/>
      <c r="BE138" s="46"/>
      <c r="BF138" s="46"/>
      <c r="BG138" s="46"/>
      <c r="BH138" s="21"/>
    </row>
    <row r="139" spans="2:60" ht="15.6" x14ac:dyDescent="0.3">
      <c r="B139" s="68"/>
      <c r="C139" s="78"/>
      <c r="D139" s="83" t="s">
        <v>278</v>
      </c>
      <c r="E139" s="56">
        <f ca="1">MAX(H139:BG139)</f>
        <v>0</v>
      </c>
      <c r="F139" s="116"/>
      <c r="H139" s="47"/>
      <c r="I139" s="48"/>
      <c r="J139" s="48"/>
      <c r="K139" s="48"/>
      <c r="L139" s="50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50"/>
      <c r="X139" s="50"/>
      <c r="Y139" s="50"/>
      <c r="Z139" s="50"/>
      <c r="AA139" s="44"/>
      <c r="AB139" s="44" t="str">
        <f>IF(SUM(H131:BG131) = AB137, " 0 ", " ")</f>
        <v xml:space="preserve"> </v>
      </c>
      <c r="AC139" s="44" t="str">
        <f ca="1">IF(AC9&gt;WEEKNUM(TODAY())," ", IF(AND(AC10="x",SUM($AB138:AC138)&gt;$AB136),H9-(SUM($AB138:AC138)/SUM($AB136:$BG136)),IF(SUM($AB138:AC138)&gt;=$AB136," ",H9-(SUM($AB138:AC138)/(SUM($AB136:$BG136))))))</f>
        <v xml:space="preserve"> </v>
      </c>
      <c r="AD139" s="44" t="str">
        <f ca="1">IF(AD9&gt;WEEKNUM(TODAY())," ", IF(AND(AD10="x",SUM($AB138:AD138)&gt;$AB136),I9-(SUM($AB138:AD138)/SUM($AB136:$BG136)),IF(SUM($AB138:AD138)&gt;=$AB136," ",I9-(SUM($AB138:AD138)/(SUM($AB136:$BG136))))))</f>
        <v xml:space="preserve"> </v>
      </c>
      <c r="AE139" s="44" t="str">
        <f ca="1">IF(AE9&gt;WEEKNUM(TODAY())," ", IF(AND(AE10="x",SUM($AB138:AE138)&gt;$AB136),J9-(SUM($AB138:AE138)/SUM($AB136:$BG136)),IF(SUM($AB138:AE138)&gt;=$AB136," ",J9-(SUM($AB138:AE138)/(SUM($AB136:$BG136))))))</f>
        <v xml:space="preserve"> </v>
      </c>
      <c r="AF139" s="44" t="str">
        <f ca="1">IF(AF9&gt;WEEKNUM(TODAY())," ", IF(AND(AF10="x",SUM($AB138:AF138)&gt;$AB136),K9-(SUM($AB138:AF138)/SUM($AB136:$BG136)),IF(SUM($AB138:AF138)&gt;=$AB136," ",K9-(SUM($AB138:AF138)/(SUM($AB136:$BG136))))))</f>
        <v xml:space="preserve"> </v>
      </c>
      <c r="AG139" s="44" t="str">
        <f ca="1">IF(AG9&gt;WEEKNUM(TODAY())," ", IF(AND(AG10="x",SUM($AB138:AG138)&gt;$AB136),L9-(SUM($AB138:AG138)/SUM($AB136:$BG136)),IF(SUM($AB138:AG138)&gt;=$AB136," ",L9-(SUM($AB138:AG138)/(SUM($AB136:$BG136))))))</f>
        <v xml:space="preserve"> </v>
      </c>
      <c r="AH139" s="44" t="str">
        <f ca="1">IF(AH9&gt;WEEKNUM(TODAY())," ", IF(AND(AH10="x",SUM($AB138:AH138)&gt;$AB136),M9-(SUM($AB138:AH138)/SUM($AB136:$BG136)),IF(SUM($AB138:AH138)&gt;=$AB136," ",M9-(SUM($AB138:AH138)/(SUM($AB136:$BG136))))))</f>
        <v xml:space="preserve"> </v>
      </c>
      <c r="AI139" s="44" t="str">
        <f ca="1">IF(AI9&gt;WEEKNUM(TODAY())," ", IF(AND(AI10="x",SUM($AB138:AI138)&gt;$AB136),N9-(SUM($AB138:AI138)/SUM($AB136:$BG136)),IF(SUM($AB138:AI138)&gt;=$AB136," ",N9-(SUM($AB138:AI138)/(SUM($AB136:$BG136))))))</f>
        <v xml:space="preserve"> </v>
      </c>
      <c r="AJ139" s="44" t="str">
        <f ca="1">IF(AJ9&gt;WEEKNUM(TODAY())," ", IF(AND(AJ10="x",SUM($AB138:AJ138)&gt;$AB136),O9-(SUM($AB138:AJ138)/SUM($AB136:$BG136)),IF(SUM($AB138:AJ138)&gt;=$AB136," ",O9-(SUM($AB138:AJ138)/(SUM($AB136:$BG136))))))</f>
        <v xml:space="preserve"> </v>
      </c>
      <c r="AK139" s="44" t="str">
        <f ca="1">IF(AK9&gt;WEEKNUM(TODAY())," ", IF(AND(AK10="x",SUM($AB138:AK138)&gt;$AB136),P9-(SUM($AB138:AK138)/SUM($AB136:$BG136)),IF(SUM($AB138:AK138)&gt;=$AB136," ",P9-(SUM($AB138:AK138)/(SUM($AB136:$BG136))))))</f>
        <v xml:space="preserve"> </v>
      </c>
      <c r="AL139" s="44" t="str">
        <f ca="1">IF(AL9&gt;WEEKNUM(TODAY())," ", IF(AND(AL10="x",SUM($AB138:AL138)&gt;$AB136),Q9-(SUM($AB138:AL138)/SUM($AB136:$BG136)),IF(SUM($AB138:AL138)&gt;=$AB136," ",Q9-(SUM($AB138:AL138)/(SUM($AB136:$BG136))))))</f>
        <v xml:space="preserve"> </v>
      </c>
      <c r="AM139" s="44" t="str">
        <f ca="1">IF(AM9&gt;WEEKNUM(TODAY())," ", IF(AND(AM10="x",SUM($AB138:AM138)&gt;$AB136),R9-(SUM($AB138:AM138)/SUM($AB136:$BG136)),IF(SUM($AB138:AM138)&gt;=$AB136," ",R9-(SUM($AB138:AM138)/(SUM($AB136:$BG136))))))</f>
        <v xml:space="preserve"> </v>
      </c>
      <c r="AN139" s="44" t="str">
        <f ca="1">IF(AN9&gt;WEEKNUM(TODAY())," ", IF(AND(AN10="x",SUM($AB138:AN138)&gt;$AB136),S9-(SUM($AB138:AN138)/SUM($AB136:$BG136)),IF(SUM($AB138:AN138)&gt;=$AB136," ",S9-(SUM($AB138:AN138)/(SUM($AB136:$BG136))))))</f>
        <v xml:space="preserve"> </v>
      </c>
      <c r="AO139" s="44" t="str">
        <f ca="1">IF(AO9&gt;WEEKNUM(TODAY())," ", IF(AND(AO10="x",SUM($AB138:AO138)&gt;$AB136),T9-(SUM($AB138:AO138)/SUM($AB136:$BG136)),IF(SUM($AB138:AO138)&gt;=$AB136," ",T9-(SUM($AB138:AO138)/(SUM($AB136:$BG136))))))</f>
        <v xml:space="preserve"> </v>
      </c>
      <c r="AP139" s="44" t="str">
        <f ca="1">IF(AP9&gt;WEEKNUM(TODAY())," ", IF(AND(AP10="x",SUM($AB138:AP138)&gt;$AB136),U9-(SUM($AB138:AP138)/SUM($AB136:$BG136)),IF(SUM($AB138:AP138)&gt;=$AB136," ",U9-(SUM($AB138:AP138)/(SUM($AB136:$BG136))))))</f>
        <v xml:space="preserve"> </v>
      </c>
      <c r="AQ139" s="44" t="str">
        <f ca="1">IF(AQ9&gt;WEEKNUM(TODAY())," ", IF(AND(AQ10="x",SUM($AB138:AQ138)&gt;$AB136),V9-(SUM($AB138:AQ138)/SUM($AB136:$BG136)),IF(SUM($AB138:AQ138)&gt;=$AB136," ",V9-(SUM($AB138:AQ138)/(SUM($AB136:$BG136))))))</f>
        <v xml:space="preserve"> </v>
      </c>
      <c r="AR139" s="44" t="str">
        <f ca="1">IF(AR9&gt;WEEKNUM(TODAY())," ", IF(AND(AR10="x",SUM($AB138:AR138)&gt;$AB136),W9-(SUM($AB138:AR138)/SUM($AB136:$BG136)),IF(SUM($AB138:AR138)&gt;=$AB136," ",W9-(SUM($AB138:AR138)/(SUM($AB136:$BG136))))))</f>
        <v xml:space="preserve"> </v>
      </c>
      <c r="AS139" s="44" t="str">
        <f ca="1">IF(AS9&gt;WEEKNUM(TODAY())," ", IF(AND(AS10="x",SUM($AB138:AS138)&gt;$AB136),X9-(SUM($AB138:AS138)/SUM($AB136:$BG136)),IF(SUM($AB138:AS138)&gt;=$AB136," ",X9-(SUM($AB138:AS138)/(SUM($AB136:$BG136))))))</f>
        <v xml:space="preserve"> </v>
      </c>
      <c r="AT139" s="44" t="str">
        <f ca="1">IF(AT9&gt;WEEKNUM(TODAY())," ", IF(AND(AT10="x",SUM($AB138:AT138)&gt;$AB136),Y9-(SUM($AB138:AT138)/SUM($AB136:$BG136)),IF(SUM($AB138:AT138)&gt;=$AB136," ",Y9-(SUM($AB138:AT138)/(SUM($AB136:$BG136))))))</f>
        <v xml:space="preserve"> </v>
      </c>
      <c r="AU139" s="44" t="str">
        <f ca="1">IF(AU9&gt;WEEKNUM(TODAY())," ", IF(AND(AU10="x",SUM($AB138:AU138)&gt;$AB136),Z9-(SUM($AB138:AU138)/SUM($AB136:$BG136)),IF(SUM($AB138:AU138)&gt;=$AB136," ",Z9-(SUM($AB138:AU138)/(SUM($AB136:$BG136))))))</f>
        <v xml:space="preserve"> </v>
      </c>
      <c r="AV139" s="44" t="str">
        <f ca="1">IF(AV9&gt;WEEKNUM(TODAY())," ", IF(AND(AV10="x",SUM($AB138:AV138)&gt;$AB136),AA9-(SUM($AB138:AV138)/SUM($AB136:$BG136)),IF(SUM($AB138:AV138)&gt;=$AB136," ",AA9-(SUM($AB138:AV138)/(SUM($AB136:$BG136))))))</f>
        <v xml:space="preserve"> </v>
      </c>
      <c r="AW139" s="44" t="str">
        <f ca="1">IF(AW9&gt;WEEKNUM(TODAY())," ", IF(AND(AW10="x",SUM($AB138:AW138)&gt;$AB136),AB9-(SUM($AB138:AW138)/SUM($AB136:$BG136)),IF(SUM($AB138:AW138)&gt;=$AB136," ",AB9-(SUM($AB138:AW138)/(SUM($AB136:$BG136))))))</f>
        <v xml:space="preserve"> </v>
      </c>
      <c r="AX139" s="44" t="str">
        <f ca="1">IF(AX9&gt;WEEKNUM(TODAY())," ", IF(AND(AX10="x",SUM($AB138:AX138)&gt;$AB136),AC9-(SUM($AB138:AX138)/SUM($AB136:$BG136)),IF(SUM($AB138:AX138)&gt;=$AB136," ",AC9-(SUM($AB138:AX138)/(SUM($AB136:$BG136))))))</f>
        <v xml:space="preserve"> </v>
      </c>
      <c r="AY139" s="44" t="str">
        <f ca="1">IF(AY9&gt;WEEKNUM(TODAY())," ", IF(AND(AY10="x",SUM($AB138:AY138)&gt;$AB136),AD9-(SUM($AB138:AY138)/SUM($AB136:$BG136)),IF(SUM($AB138:AY138)&gt;=$AB136," ",AD9-(SUM($AB138:AY138)/(SUM($AB136:$BG136))))))</f>
        <v xml:space="preserve"> </v>
      </c>
      <c r="AZ139" s="44" t="str">
        <f ca="1">IF(AZ9&gt;WEEKNUM(TODAY())," ", IF(AND(AZ10="x",SUM($AB138:AZ138)&gt;$AB136),AE9-(SUM($AB138:AZ138)/SUM($AB136:$BG136)),IF(SUM($AB138:AZ138)&gt;=$AB136," ",AE9-(SUM($AB138:AZ138)/(SUM($AB136:$BG136))))))</f>
        <v xml:space="preserve"> </v>
      </c>
      <c r="BA139" s="44" t="str">
        <f ca="1">IF(BA9&gt;WEEKNUM(TODAY())," ", IF(AND(BA10="x",SUM($AB138:BA138)&gt;$AB136),AF9-(SUM($AB138:BA138)/SUM($AB136:$BG136)),IF(SUM($AB138:BA138)&gt;=$AB136," ",AF9-(SUM($AB138:BA138)/(SUM($AB136:$BG136))))))</f>
        <v xml:space="preserve"> </v>
      </c>
      <c r="BB139" s="44" t="str">
        <f ca="1">IF(BB9&gt;WEEKNUM(TODAY())," ", IF(AND(BB10="x",SUM($AB138:BB138)&gt;$AB136),AG9-(SUM($AB138:BB138)/SUM($AB136:$BG136)),IF(SUM($AB138:BB138)&gt;=$AB136," ",AG9-(SUM($AB138:BB138)/(SUM($AB136:$BG136))))))</f>
        <v xml:space="preserve"> </v>
      </c>
      <c r="BC139" s="44" t="str">
        <f ca="1">IF(BC9&gt;WEEKNUM(TODAY())," ", IF(AND(BC10="x",SUM($AB138:BC138)&gt;$AB136),AH9-(SUM($AB138:BC138)/SUM($AB136:$BG136)),IF(SUM($AB138:BC138)&gt;=$AB136," ",AH9-(SUM($AB138:BC138)/(SUM($AB136:$BG136))))))</f>
        <v xml:space="preserve"> </v>
      </c>
      <c r="BD139" s="44" t="str">
        <f ca="1">IF(BD9&gt;WEEKNUM(TODAY())," ", IF(AND(BD10="x",SUM($AB138:BD138)&gt;$AB136),AI9-(SUM($AB138:BD138)/SUM($AB136:$BG136)),IF(SUM($AB138:BD138)&gt;=$AB136," ",AI9-(SUM($AB138:BD138)/(SUM($AB136:$BG136))))))</f>
        <v xml:space="preserve"> </v>
      </c>
      <c r="BE139" s="44" t="str">
        <f ca="1">IF(BE9&gt;WEEKNUM(TODAY())," ", IF(AND(BE10="x",SUM($AB138:BE138)&gt;$AB136),AJ9-(SUM($AB138:BE138)/SUM($AB136:$BG136)),IF(SUM($AB138:BE138)&gt;=$AB136," ",AJ9-(SUM($AB138:BE138)/(SUM($AB136:$BG136))))))</f>
        <v xml:space="preserve"> </v>
      </c>
      <c r="BF139" s="44" t="str">
        <f ca="1">IF(BF9&gt;WEEKNUM(TODAY())," ", IF(AND(BF10="x",SUM($AB138:BF138)&gt;$AB136),AK9-(SUM($AB138:BF138)/SUM($AB136:$BG136)),IF(SUM($AB138:BF138)&gt;=$AB136," ",AK9-(SUM($AB138:BF138)/(SUM($AB136:$BG136))))))</f>
        <v xml:space="preserve"> </v>
      </c>
      <c r="BG139" s="44" t="str">
        <f ca="1">IF(BG9&gt;WEEKNUM(TODAY())," ", IF(AND(BG10="x",SUM($AB138:BG138)&gt;$AB136),AL9-(SUM($AB138:BG138)/SUM($AB136:$BG136)),IF(SUM($AB138:BG138)&gt;=$AB136," ",AL9-(SUM($AB138:BG138)/(SUM($AB136:$BG136))))))</f>
        <v xml:space="preserve"> </v>
      </c>
      <c r="BH139" s="21"/>
    </row>
    <row r="140" spans="2:60" ht="16.2" thickBot="1" x14ac:dyDescent="0.35">
      <c r="B140" s="70"/>
      <c r="C140" s="79"/>
      <c r="D140" s="84"/>
      <c r="E140" s="57"/>
      <c r="F140" s="117"/>
      <c r="H140" s="49" t="str">
        <f>IF(H136= " ", " ",IF(H138&gt;SUM($H136:$BG136), " N/A", IF(SUM($H138:$BG138)=SUM($H136:BG136), " ", IF(H138=SUM($H136:BG136), " ", "x"))))</f>
        <v>x</v>
      </c>
      <c r="I140" s="50" t="str">
        <f>IF(SUM($H138:I138) &gt; SUM($H136:I136),  " N/A", IF(SUM($H138:$BG138) = SUM($H136:$BH136),    " ",IF(I138 = SUM($H136:$BH136),  " ",   "x")))</f>
        <v>x</v>
      </c>
      <c r="J140" s="50" t="str">
        <f>IF(SUM($H138:J138) &gt; SUM($H136:J136),  " N/A", IF(SUM($H138:$BG138) = SUM($H136:$BH136),    " ",IF(J138 = SUM($H136:$BH136),  " ",   "x")))</f>
        <v>x</v>
      </c>
      <c r="K140" s="50" t="str">
        <f>IF(SUM($H138:K138) &gt; SUM($H136:K136),  " N/A", IF(SUM($H138:$BG138) = SUM($H136:$BH136),    " ",IF(K138 = SUM($H136:$BH136),  " ",   "x")))</f>
        <v>x</v>
      </c>
      <c r="L140" s="50" t="str">
        <f>IF(SUM($H138:L138) &gt; SUM($H136:L136),  " N/A", IF(SUM($H138:$BG138) = SUM($H136:$BH136),    " ",IF(L138 = SUM($H136:$BH136),  " ",   "x")))</f>
        <v>x</v>
      </c>
      <c r="M140" s="50" t="str">
        <f>IF(SUM($H138:M138) &gt; SUM($H136:M136),  " N/A", IF(SUM($H138:$BG138) = SUM($H136:$BH136),    " ",IF(M138 = SUM($H136:$BH136),  " ",   "x")))</f>
        <v>x</v>
      </c>
      <c r="N140" s="50" t="str">
        <f>IF(SUM($H138:N138) &gt; SUM($H136:N136),  " N/A", IF(SUM($H138:$BG138) = SUM($H136:$BH136),    " ",IF(N138 = SUM($H136:$BH136),  " ",   "x")))</f>
        <v>x</v>
      </c>
      <c r="O140" s="50" t="str">
        <f>IF(SUM($H138:O138) &gt; SUM($H136:O136),  " N/A", IF(SUM($H138:$BG138) = SUM($H136:$BH136),    " ",IF(O138 = SUM($H136:$BH136),  " ",   "x")))</f>
        <v>x</v>
      </c>
      <c r="P140" s="50" t="str">
        <f>IF(SUM($H138:P138) &gt; SUM($H136:P136),  " N/A", IF(SUM($H138:$BG138) = SUM($H136:$BH136),    " ",IF(P138 = SUM($H136:$BH136),  " ",   "x")))</f>
        <v>x</v>
      </c>
      <c r="Q140" s="50" t="str">
        <f>IF(SUM($H138:Q138) &gt; SUM($H136:Q136),  " N/A", IF(SUM($H138:$BG138) = SUM($H136:$BH136),    " ",IF(Q138 = SUM($H136:$BH136),  " ",   "x")))</f>
        <v>x</v>
      </c>
      <c r="R140" s="50" t="str">
        <f>IF(SUM($H138:R138) &gt; SUM($H136:R136),  " N/A", IF(SUM($H138:$BG138) = SUM($H136:$BH136),    " ",IF(R138 = SUM($H136:$BH136),  " ",   "x")))</f>
        <v>x</v>
      </c>
      <c r="S140" s="50" t="str">
        <f>IF(SUM($H138:S138) &gt; SUM($H136:S136),  " N/A", IF(SUM($H138:$BG138) = SUM($H136:$BH136),    " ",IF(S138 = SUM($H136:$BH136),  " ",   "x")))</f>
        <v>x</v>
      </c>
      <c r="T140" s="50" t="str">
        <f>IF(SUM($H138:T138) &gt; SUM($H136:T136),  " N/A", IF(SUM($H138:$BG138) = SUM($H136:$BH136),    " ",IF(T138 = SUM($H136:$BH136),  " ",   "x")))</f>
        <v>x</v>
      </c>
      <c r="U140" s="50" t="str">
        <f>IF(SUM($H138:U138) &gt; SUM($H136:U136),  " N/A", IF(SUM($H138:$BG138) = SUM($H136:$BH136),    " ",IF(U138 = SUM($H136:$BH136),  " ",   "x")))</f>
        <v>x</v>
      </c>
      <c r="V140" s="50" t="str">
        <f>IF(SUM($H138:V138) &gt; SUM($H136:V136),  " N/A", IF(SUM($H138:$BG138) = SUM($H136:$BH136),    " ",IF(V138 = SUM($H136:$BH136),  " ",   "x")))</f>
        <v>x</v>
      </c>
      <c r="W140" s="50" t="str">
        <f>IF(SUM($H138:W138) &gt; SUM($H136:W136),  " N/A", IF(SUM($H138:$BG138) = SUM($H136:$BH136),    " ",IF(W138 = SUM($H136:$BH136),  " ",   "x")))</f>
        <v>x</v>
      </c>
      <c r="X140" s="50" t="str">
        <f>IF(SUM($H138:X138) &gt; SUM($H136:X136),  " N/A", IF(SUM($H138:$BG138) = SUM($H136:$BH136),    " ",IF(X138 = SUM($H136:$BH136),  " ",   "x")))</f>
        <v>x</v>
      </c>
      <c r="Y140" s="50" t="str">
        <f>IF(SUM($H138:Y138) &gt; SUM($H136:Y136),  " N/A", IF(SUM($H138:$BG138) = SUM($H136:$BH136),    " ",IF(Y138 = SUM($H136:$BH136),  " ",   "x")))</f>
        <v>x</v>
      </c>
      <c r="Z140" s="50" t="str">
        <f>IF(SUM($H138:Z138) &gt; SUM($H136:Z136),  " N/A", IF(SUM($H138:$BG138) = SUM($H136:$BH136),    " ",IF(Z138 = SUM($H136:$BH136),  " ",   "x")))</f>
        <v>x</v>
      </c>
      <c r="AA140" s="50" t="str">
        <f>IF(SUM($H138:AA138) &gt; SUM($H136:AA136),  " N/A", IF(SUM($H138:$BG138) = SUM($H136:$BH136),    " ",IF(AA138 = SUM($H136:$BH136),  " ",   "x")))</f>
        <v>x</v>
      </c>
      <c r="AB140" s="50" t="str">
        <f>IF(SUM($H138:AB138) &gt; SUM($H136:AB136),  " N/A", IF(SUM($H138:$BG138) = SUM($H136:$BH136),    " ",IF(AB138 = SUM($H136:$BH136),  " ",   "x")))</f>
        <v>x</v>
      </c>
      <c r="AC140" s="50" t="str">
        <f>IF(SUM($H138:AC138) &gt; SUM($H136:AC136),  " N/A", IF(SUM($H138:$BG138) = SUM($H136:$BH136),    " ",IF(AC138 = SUM($H136:$BH136),  " ",   "x")))</f>
        <v>x</v>
      </c>
      <c r="AD140" s="50" t="str">
        <f>IF(SUM($H138:AD138) &gt; SUM($H136:AD136),  " N/A", IF(SUM($H138:$BG138) = SUM($H136:$BH136),    " ",IF(AD138 = SUM($H136:$BH136),  " ",   "x")))</f>
        <v>x</v>
      </c>
      <c r="AE140" s="50" t="str">
        <f>IF(SUM($H138:AE138) &gt; SUM($H136:AE136),  " N/A", IF(SUM($H138:$BG138) = SUM($H136:$BH136),    " ",IF(AE138 = SUM($H136:$BH136),  " ",   "x")))</f>
        <v>x</v>
      </c>
      <c r="AF140" s="50" t="str">
        <f>IF(SUM($H138:AF138) &gt; SUM($H136:AF136),  " N/A", IF(SUM($H138:$BG138) = SUM($H136:$BH136),    " ",IF(AF138 = SUM($H136:$BH136),  " ",   "x")))</f>
        <v>x</v>
      </c>
      <c r="AG140" s="50" t="str">
        <f>IF(SUM($H138:AG138) &gt; SUM($H136:AG136),  " N/A", IF(SUM($H138:$BG138) = SUM($H136:$BH136),    " ",IF(AG138 = SUM($H136:$BH136),  " ",   "x")))</f>
        <v>x</v>
      </c>
      <c r="AH140" s="50" t="str">
        <f>IF(SUM($H138:AH138) &gt; SUM($H136:AH136),  " N/A", IF(SUM($H138:$BG138) = SUM($H136:$BH136),    " ",IF(AH138 = SUM($H136:$BH136),  " ",   "x")))</f>
        <v>x</v>
      </c>
      <c r="AI140" s="50" t="str">
        <f>IF(SUM($H138:AI138) &gt; SUM($H136:AI136),  " N/A", IF(SUM($H138:$BG138) = SUM($H136:$BH136),    " ",IF(AI138 = SUM($H136:$BH136),  " ",   "x")))</f>
        <v>x</v>
      </c>
      <c r="AJ140" s="50" t="str">
        <f>IF(SUM($H138:AJ138) &gt; SUM($H136:AJ136),  " N/A", IF(SUM($H138:$BG138) = SUM($H136:$BH136),    " ",IF(AJ138 = SUM($H136:$BH136),  " ",   "x")))</f>
        <v>x</v>
      </c>
      <c r="AK140" s="50" t="str">
        <f>IF(SUM($H138:AK138) &gt; SUM($H136:AK136),  " N/A", IF(SUM($H138:$BG138) = SUM($H136:$BH136),    " ",IF(AK138 = SUM($H136:$BH136),  " ",   "x")))</f>
        <v>x</v>
      </c>
      <c r="AL140" s="50" t="str">
        <f>IF(SUM($H138:AL138) &gt; SUM($H136:AL136),  " N/A", IF(SUM($H138:$BG138) = SUM($H136:$BH136),    " ",IF(AL138 = SUM($H136:$BH136),  " ",   "x")))</f>
        <v>x</v>
      </c>
      <c r="AM140" s="50" t="str">
        <f>IF(SUM($H138:AM138) &gt; SUM($H136:AM136),  " N/A", IF(SUM($H138:$BG138) = SUM($H136:$BH136),    " ",IF(AM138 = SUM($H136:$BH136),  " ",   "x")))</f>
        <v>x</v>
      </c>
      <c r="AN140" s="50" t="str">
        <f>IF(SUM($H138:AN138) &gt; SUM($H136:AN136),  " N/A", IF(SUM($H138:$BG138) = SUM($H136:$BH136),    " ",IF(AN138 = SUM($H136:$BH136),  " ",   "x")))</f>
        <v>x</v>
      </c>
      <c r="AO140" s="50" t="str">
        <f>IF(SUM($H138:AO138) &gt; SUM($H136:AO136),  " N/A", IF(SUM($H138:$BG138) = SUM($H136:$BH136),    " ",IF(AO138 = SUM($H136:$BH136),  " ",   "x")))</f>
        <v>x</v>
      </c>
      <c r="AP140" s="50" t="str">
        <f>IF(SUM($H138:AP138) &gt; SUM($H136:AP136),  " N/A", IF(SUM($H138:$BG138) = SUM($H136:$BH136),    " ",IF(AP138 = SUM($H136:$BH136),  " ",   "x")))</f>
        <v>x</v>
      </c>
      <c r="AQ140" s="50" t="str">
        <f>IF(SUM($H138:AQ138) &gt; SUM($H136:AQ136),  " N/A", IF(SUM($H138:$BG138) = SUM($H136:$BH136),    " ",IF(AQ138 = SUM($H136:$BH136),  " ",   "x")))</f>
        <v>x</v>
      </c>
      <c r="AR140" s="50" t="str">
        <f>IF(SUM($H138:AR138) &gt; SUM($H136:AR136),  " N/A", IF(SUM($H138:$BG138) = SUM($H136:$BH136),    " ",IF(AR138 = SUM($H136:$BH136),  " ",   "x")))</f>
        <v>x</v>
      </c>
      <c r="AS140" s="50" t="str">
        <f>IF(SUM($H138:AS138) &gt; SUM($H136:AS136),  " N/A", IF(SUM($H138:$BG138) = SUM($H136:$BH136),    " ",IF(AS138 = SUM($H136:$BH136),  " ",   "x")))</f>
        <v>x</v>
      </c>
      <c r="AT140" s="50" t="str">
        <f>IF(SUM($H138:AT138) &gt; SUM($H136:AT136),  " N/A", IF(SUM($H138:$BG138) = SUM($H136:$BH136),    " ",IF(AT138 = SUM($H136:$BH136),  " ",   "x")))</f>
        <v>x</v>
      </c>
      <c r="AU140" s="50" t="str">
        <f>IF(SUM($H138:AU138) &gt; SUM($H136:AU136),  " N/A", IF(SUM($H138:$BG138) = SUM($H136:$BH136),    " ",IF(AU138 = SUM($H136:$BH136),  " ",   "x")))</f>
        <v>x</v>
      </c>
      <c r="AV140" s="50" t="str">
        <f>IF(SUM($H138:AV138) &gt; SUM($H136:AV136),  " N/A", IF(SUM($H138:$BG138) = SUM($H136:$BH136),    " ",IF(AV138 = SUM($H136:$BH136),  " ",   "x")))</f>
        <v>x</v>
      </c>
      <c r="AW140" s="50" t="str">
        <f>IF(SUM($H138:AW138) &gt; SUM($H136:AW136),  " N/A", IF(SUM($H138:$BG138) = SUM($H136:$BH136),    " ",IF(AW138 = SUM($H136:$BH136),  " ",   "x")))</f>
        <v>x</v>
      </c>
      <c r="AX140" s="50" t="str">
        <f>IF(SUM($H138:AX138) &gt; SUM($H136:AX136),  " N/A", IF(SUM($H138:$BG138) = SUM($H136:$BH136),    " ",IF(AX138 = SUM($H136:$BH136),  " ",   "x")))</f>
        <v>x</v>
      </c>
      <c r="AY140" s="50" t="str">
        <f>IF(SUM($H138:AY138) &gt; SUM($H136:AY136),  " N/A", IF(SUM($H138:$BG138) = SUM($H136:$BH136),    " ",IF(AY138 = SUM($H136:$BH136),  " ",   "x")))</f>
        <v>x</v>
      </c>
      <c r="AZ140" s="50" t="str">
        <f>IF(SUM($H138:AZ138) &gt; SUM($H136:AZ136),  " N/A", IF(SUM($H138:$BG138) = SUM($H136:$BH136),    " ",IF(AZ138 = SUM($H136:$BH136),  " ",   "x")))</f>
        <v>x</v>
      </c>
      <c r="BA140" s="50" t="str">
        <f>IF(SUM($H138:BA138) &gt; SUM($H136:BA136),  " N/A", IF(SUM($H138:$BG138) = SUM($H136:$BH136),    " ",IF(BA138 = SUM($H136:$BH136),  " ",   "x")))</f>
        <v>x</v>
      </c>
      <c r="BB140" s="50" t="str">
        <f>IF(SUM($H138:BB138) &gt; SUM($H136:BB136),  " N/A", IF(SUM($H138:$BG138) = SUM($H136:$BH136),    " ",IF(BB138 = SUM($H136:$BH136),  " ",   "x")))</f>
        <v>x</v>
      </c>
      <c r="BC140" s="50" t="str">
        <f>IF(SUM($H138:BC138) &gt; SUM($H136:BC136),  " N/A", IF(SUM($H138:$BG138) = SUM($H136:$BH136),    " ",IF(BC138 = SUM($H136:$BH136),  " ",   "x")))</f>
        <v>x</v>
      </c>
      <c r="BD140" s="50" t="str">
        <f>IF(SUM($H138:BD138) &gt; SUM($H136:BD136),  " N/A", IF(SUM($H138:$BG138) = SUM($H136:$BH136),    " ",IF(BD138 = SUM($H136:$BH136),  " ",   "x")))</f>
        <v>x</v>
      </c>
      <c r="BE140" s="50" t="str">
        <f>IF(SUM($H138:BE138) &gt; SUM($H136:BE136),  " N/A", IF(SUM($H138:$BG138) = SUM($H136:$BH136),    " ",IF(BE138 = SUM($H136:$BH136),  " ",   "x")))</f>
        <v>x</v>
      </c>
      <c r="BF140" s="50" t="str">
        <f>IF(SUM($H138:BF138) &gt; SUM($H136:BF136),  " N/A", IF(SUM($H138:$BG138) = SUM($H136:$BH136),    " ",IF(BF138 = SUM($H136:$BH136),  " ",   "x")))</f>
        <v>x</v>
      </c>
      <c r="BG140" s="50" t="str">
        <f>IF(SUM($H138:BG138) &gt; SUM($H136:BG136),  " N/A", IF(SUM($H138:$BG138) = SUM($H136:$BH136),    " ",IF(BG138 = SUM($H136:$BH136),  " ",   "x")))</f>
        <v>x</v>
      </c>
      <c r="BH140" s="21"/>
    </row>
    <row r="141" spans="2:60" ht="15.6" x14ac:dyDescent="0.3">
      <c r="B141" s="71"/>
      <c r="C141" s="77"/>
      <c r="D141" s="82" t="s">
        <v>249</v>
      </c>
      <c r="E141" s="54">
        <f>SUM(H141:BG141)</f>
        <v>24</v>
      </c>
      <c r="F141" s="115">
        <f>Gant_24!$E141-E143</f>
        <v>24</v>
      </c>
      <c r="H141" s="41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>
        <v>24</v>
      </c>
      <c r="AC141" s="51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  <c r="BC141" s="42"/>
      <c r="BD141" s="42"/>
      <c r="BE141" s="42"/>
      <c r="BF141" s="42"/>
      <c r="BG141" s="42"/>
      <c r="BH141" s="21"/>
    </row>
    <row r="142" spans="2:60" ht="15.6" x14ac:dyDescent="0.3">
      <c r="B142" s="68"/>
      <c r="C142" s="78"/>
      <c r="D142" s="83" t="s">
        <v>261</v>
      </c>
      <c r="E142" s="55">
        <f>SUM(H142:BG142)</f>
        <v>8</v>
      </c>
      <c r="F142" s="116"/>
      <c r="H142" s="43"/>
      <c r="I142" s="44"/>
      <c r="J142" s="44"/>
      <c r="K142" s="44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44"/>
      <c r="AB142" s="44"/>
      <c r="AC142" s="44"/>
      <c r="AD142" s="44"/>
      <c r="AE142" s="44">
        <v>8</v>
      </c>
      <c r="AF142" s="44"/>
      <c r="AG142" s="44"/>
      <c r="AH142" s="44"/>
      <c r="AI142" s="44"/>
      <c r="AJ142" s="44"/>
      <c r="AK142" s="44"/>
      <c r="AL142" s="44"/>
      <c r="AM142" s="44"/>
      <c r="AN142" s="44"/>
      <c r="AO142" s="44"/>
      <c r="AP142" s="44"/>
      <c r="AQ142" s="44"/>
      <c r="AR142" s="44"/>
      <c r="AS142" s="44"/>
      <c r="AT142" s="44"/>
      <c r="AU142" s="44"/>
      <c r="AV142" s="44"/>
      <c r="AW142" s="44"/>
      <c r="AX142" s="44"/>
      <c r="AY142" s="44"/>
      <c r="AZ142" s="44"/>
      <c r="BA142" s="44"/>
      <c r="BB142" s="44"/>
      <c r="BC142" s="44"/>
      <c r="BD142" s="44"/>
      <c r="BE142" s="44"/>
      <c r="BF142" s="44"/>
      <c r="BG142" s="44"/>
      <c r="BH142" s="21"/>
    </row>
    <row r="143" spans="2:60" ht="15.6" x14ac:dyDescent="0.3">
      <c r="B143" s="68" t="s">
        <v>133</v>
      </c>
      <c r="C143" s="78" t="s">
        <v>134</v>
      </c>
      <c r="D143" s="83" t="s">
        <v>241</v>
      </c>
      <c r="E143" s="55">
        <f>SUM(H143:BG143)</f>
        <v>0</v>
      </c>
      <c r="F143" s="116"/>
      <c r="H143" s="45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  <c r="AO143" s="46"/>
      <c r="AP143" s="46"/>
      <c r="AQ143" s="46"/>
      <c r="AR143" s="46"/>
      <c r="AS143" s="46"/>
      <c r="AT143" s="46"/>
      <c r="AU143" s="46"/>
      <c r="AV143" s="46"/>
      <c r="AW143" s="46"/>
      <c r="AX143" s="46"/>
      <c r="AY143" s="46"/>
      <c r="AZ143" s="46"/>
      <c r="BA143" s="46"/>
      <c r="BB143" s="46"/>
      <c r="BC143" s="46"/>
      <c r="BD143" s="46"/>
      <c r="BE143" s="46"/>
      <c r="BF143" s="46"/>
      <c r="BG143" s="46"/>
      <c r="BH143" s="21"/>
    </row>
    <row r="144" spans="2:60" ht="15.6" x14ac:dyDescent="0.3">
      <c r="B144" s="68"/>
      <c r="C144" s="78"/>
      <c r="D144" s="83" t="s">
        <v>278</v>
      </c>
      <c r="E144" s="56">
        <f ca="1">MAX(H144:BG144)</f>
        <v>0</v>
      </c>
      <c r="F144" s="116"/>
      <c r="H144" s="47"/>
      <c r="I144" s="48"/>
      <c r="J144" s="48"/>
      <c r="K144" s="48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  <c r="AA144" s="44"/>
      <c r="AB144" s="44" t="str">
        <f>IF(SUM(H136:BG136) = AB142, " 0 ", " ")</f>
        <v xml:space="preserve"> </v>
      </c>
      <c r="AC144" s="44" t="str">
        <f ca="1">IF(AC9&gt;WEEKNUM(TODAY())," ", IF(AND(AC10="x",SUM($AB143:AC143)&gt;$AB141),H9-(SUM($AB143:AC143)/SUM($AB141:$BG141)),IF(SUM($AB143:AC143)&gt;=$AB141," ",H9-(SUM($AB143:AC143)/(SUM($AB141:$BG141))))))</f>
        <v xml:space="preserve"> </v>
      </c>
      <c r="AD144" s="44" t="str">
        <f ca="1">IF(AD9&gt;WEEKNUM(TODAY())," ", IF(AND(AD10="x",SUM($AB143:AD143)&gt;$AB141),I9-(SUM($AB143:AD143)/SUM($AB141:$BG141)),IF(SUM($AB143:AD143)&gt;=$AB141," ",I9-(SUM($AB143:AD143)/(SUM($AB141:$BG141))))))</f>
        <v xml:space="preserve"> </v>
      </c>
      <c r="AE144" s="44" t="str">
        <f ca="1">IF(AE9&gt;WEEKNUM(TODAY())," ", IF(AND(AE10="x",SUM($AB143:AE143)&gt;$AB141),J9-(SUM($AB143:AE143)/SUM($AB141:$BG141)),IF(SUM($AB143:AE143)&gt;=$AB141," ",J9-(SUM($AB143:AE143)/(SUM($AB141:$BG141))))))</f>
        <v xml:space="preserve"> </v>
      </c>
      <c r="AF144" s="44" t="str">
        <f ca="1">IF(AF9&gt;WEEKNUM(TODAY())," ", IF(AND(AF10="x",SUM($AB143:AF143)&gt;$AB141),K9-(SUM($AB143:AF143)/SUM($AB141:$BG141)),IF(SUM($AB143:AF143)&gt;=$AB141," ",K9-(SUM($AB143:AF143)/(SUM($AB141:$BG141))))))</f>
        <v xml:space="preserve"> </v>
      </c>
      <c r="AG144" s="44" t="str">
        <f ca="1">IF(AG9&gt;WEEKNUM(TODAY())," ", IF(AND(AG10="x",SUM($AB143:AG143)&gt;$AB141),L9-(SUM($AB143:AG143)/SUM($AB141:$BG141)),IF(SUM($AB143:AG143)&gt;=$AB141," ",L9-(SUM($AB143:AG143)/(SUM($AB141:$BG141))))))</f>
        <v xml:space="preserve"> </v>
      </c>
      <c r="AH144" s="44" t="str">
        <f ca="1">IF(AH9&gt;WEEKNUM(TODAY())," ", IF(AND(AH10="x",SUM($AB143:AH143)&gt;$AB141),M9-(SUM($AB143:AH143)/SUM($AB141:$BG141)),IF(SUM($AB143:AH143)&gt;=$AB141," ",M9-(SUM($AB143:AH143)/(SUM($AB141:$BG141))))))</f>
        <v xml:space="preserve"> </v>
      </c>
      <c r="AI144" s="44" t="str">
        <f ca="1">IF(AI9&gt;WEEKNUM(TODAY())," ", IF(AND(AI10="x",SUM($AB143:AI143)&gt;$AB141),N9-(SUM($AB143:AI143)/SUM($AB141:$BG141)),IF(SUM($AB143:AI143)&gt;=$AB141," ",N9-(SUM($AB143:AI143)/(SUM($AB141:$BG141))))))</f>
        <v xml:space="preserve"> </v>
      </c>
      <c r="AJ144" s="44" t="str">
        <f ca="1">IF(AJ9&gt;WEEKNUM(TODAY())," ", IF(AND(AJ10="x",SUM($AB143:AJ143)&gt;$AB141),O9-(SUM($AB143:AJ143)/SUM($AB141:$BG141)),IF(SUM($AB143:AJ143)&gt;=$AB141," ",O9-(SUM($AB143:AJ143)/(SUM($AB141:$BG141))))))</f>
        <v xml:space="preserve"> </v>
      </c>
      <c r="AK144" s="44" t="str">
        <f ca="1">IF(AK9&gt;WEEKNUM(TODAY())," ", IF(AND(AK10="x",SUM($AB143:AK143)&gt;$AB141),P9-(SUM($AB143:AK143)/SUM($AB141:$BG141)),IF(SUM($AB143:AK143)&gt;=$AB141," ",P9-(SUM($AB143:AK143)/(SUM($AB141:$BG141))))))</f>
        <v xml:space="preserve"> </v>
      </c>
      <c r="AL144" s="44" t="str">
        <f ca="1">IF(AL9&gt;WEEKNUM(TODAY())," ", IF(AND(AL10="x",SUM($AB143:AL143)&gt;$AB141),Q9-(SUM($AB143:AL143)/SUM($AB141:$BG141)),IF(SUM($AB143:AL143)&gt;=$AB141," ",Q9-(SUM($AB143:AL143)/(SUM($AB141:$BG141))))))</f>
        <v xml:space="preserve"> </v>
      </c>
      <c r="AM144" s="44" t="str">
        <f ca="1">IF(AM9&gt;WEEKNUM(TODAY())," ", IF(AND(AM10="x",SUM($AB143:AM143)&gt;$AB141),R9-(SUM($AB143:AM143)/SUM($AB141:$BG141)),IF(SUM($AB143:AM143)&gt;=$AB141," ",R9-(SUM($AB143:AM143)/(SUM($AB141:$BG141))))))</f>
        <v xml:space="preserve"> </v>
      </c>
      <c r="AN144" s="44" t="str">
        <f ca="1">IF(AN9&gt;WEEKNUM(TODAY())," ", IF(AND(AN10="x",SUM($AB143:AN143)&gt;$AB141),S9-(SUM($AB143:AN143)/SUM($AB141:$BG141)),IF(SUM($AB143:AN143)&gt;=$AB141," ",S9-(SUM($AB143:AN143)/(SUM($AB141:$BG141))))))</f>
        <v xml:space="preserve"> </v>
      </c>
      <c r="AO144" s="44" t="str">
        <f ca="1">IF(AO9&gt;WEEKNUM(TODAY())," ", IF(AND(AO10="x",SUM($AB143:AO143)&gt;$AB141),T9-(SUM($AB143:AO143)/SUM($AB141:$BG141)),IF(SUM($AB143:AO143)&gt;=$AB141," ",T9-(SUM($AB143:AO143)/(SUM($AB141:$BG141))))))</f>
        <v xml:space="preserve"> </v>
      </c>
      <c r="AP144" s="44" t="str">
        <f ca="1">IF(AP9&gt;WEEKNUM(TODAY())," ", IF(AND(AP10="x",SUM($AB143:AP143)&gt;$AB141),U9-(SUM($AB143:AP143)/SUM($AB141:$BG141)),IF(SUM($AB143:AP143)&gt;=$AB141," ",U9-(SUM($AB143:AP143)/(SUM($AB141:$BG141))))))</f>
        <v xml:space="preserve"> </v>
      </c>
      <c r="AQ144" s="44" t="str">
        <f ca="1">IF(AQ9&gt;WEEKNUM(TODAY())," ", IF(AND(AQ10="x",SUM($AB143:AQ143)&gt;$AB141),V9-(SUM($AB143:AQ143)/SUM($AB141:$BG141)),IF(SUM($AB143:AQ143)&gt;=$AB141," ",V9-(SUM($AB143:AQ143)/(SUM($AB141:$BG141))))))</f>
        <v xml:space="preserve"> </v>
      </c>
      <c r="AR144" s="44" t="str">
        <f ca="1">IF(AR9&gt;WEEKNUM(TODAY())," ", IF(AND(AR10="x",SUM($AB143:AR143)&gt;$AB141),W9-(SUM($AB143:AR143)/SUM($AB141:$BG141)),IF(SUM($AB143:AR143)&gt;=$AB141," ",W9-(SUM($AB143:AR143)/(SUM($AB141:$BG141))))))</f>
        <v xml:space="preserve"> </v>
      </c>
      <c r="AS144" s="44" t="str">
        <f ca="1">IF(AS9&gt;WEEKNUM(TODAY())," ", IF(AND(AS10="x",SUM($AB143:AS143)&gt;$AB141),X9-(SUM($AB143:AS143)/SUM($AB141:$BG141)),IF(SUM($AB143:AS143)&gt;=$AB141," ",X9-(SUM($AB143:AS143)/(SUM($AB141:$BG141))))))</f>
        <v xml:space="preserve"> </v>
      </c>
      <c r="AT144" s="44" t="str">
        <f ca="1">IF(AT9&gt;WEEKNUM(TODAY())," ", IF(AND(AT10="x",SUM($AB143:AT143)&gt;$AB141),Y9-(SUM($AB143:AT143)/SUM($AB141:$BG141)),IF(SUM($AB143:AT143)&gt;=$AB141," ",Y9-(SUM($AB143:AT143)/(SUM($AB141:$BG141))))))</f>
        <v xml:space="preserve"> </v>
      </c>
      <c r="AU144" s="44" t="str">
        <f ca="1">IF(AU9&gt;WEEKNUM(TODAY())," ", IF(AND(AU10="x",SUM($AB143:AU143)&gt;$AB141),Z9-(SUM($AB143:AU143)/SUM($AB141:$BG141)),IF(SUM($AB143:AU143)&gt;=$AB141," ",Z9-(SUM($AB143:AU143)/(SUM($AB141:$BG141))))))</f>
        <v xml:space="preserve"> </v>
      </c>
      <c r="AV144" s="44" t="str">
        <f ca="1">IF(AV9&gt;WEEKNUM(TODAY())," ", IF(AND(AV10="x",SUM($AB143:AV143)&gt;$AB141),AA9-(SUM($AB143:AV143)/SUM($AB141:$BG141)),IF(SUM($AB143:AV143)&gt;=$AB141," ",AA9-(SUM($AB143:AV143)/(SUM($AB141:$BG141))))))</f>
        <v xml:space="preserve"> </v>
      </c>
      <c r="AW144" s="44" t="str">
        <f ca="1">IF(AW9&gt;WEEKNUM(TODAY())," ", IF(AND(AW10="x",SUM($AB143:AW143)&gt;$AB141),AB9-(SUM($AB143:AW143)/SUM($AB141:$BG141)),IF(SUM($AB143:AW143)&gt;=$AB141," ",AB9-(SUM($AB143:AW143)/(SUM($AB141:$BG141))))))</f>
        <v xml:space="preserve"> </v>
      </c>
      <c r="AX144" s="44" t="str">
        <f ca="1">IF(AX9&gt;WEEKNUM(TODAY())," ", IF(AND(AX10="x",SUM($AB143:AX143)&gt;$AB141),AC9-(SUM($AB143:AX143)/SUM($AB141:$BG141)),IF(SUM($AB143:AX143)&gt;=$AB141," ",AC9-(SUM($AB143:AX143)/(SUM($AB141:$BG141))))))</f>
        <v xml:space="preserve"> </v>
      </c>
      <c r="AY144" s="44" t="str">
        <f ca="1">IF(AY9&gt;WEEKNUM(TODAY())," ", IF(AND(AY10="x",SUM($AB143:AY143)&gt;$AB141),AD9-(SUM($AB143:AY143)/SUM($AB141:$BG141)),IF(SUM($AB143:AY143)&gt;=$AB141," ",AD9-(SUM($AB143:AY143)/(SUM($AB141:$BG141))))))</f>
        <v xml:space="preserve"> </v>
      </c>
      <c r="AZ144" s="44" t="str">
        <f ca="1">IF(AZ9&gt;WEEKNUM(TODAY())," ", IF(AND(AZ10="x",SUM($AB143:AZ143)&gt;$AB141),AE9-(SUM($AB143:AZ143)/SUM($AB141:$BG141)),IF(SUM($AB143:AZ143)&gt;=$AB141," ",AE9-(SUM($AB143:AZ143)/(SUM($AB141:$BG141))))))</f>
        <v xml:space="preserve"> </v>
      </c>
      <c r="BA144" s="44" t="str">
        <f ca="1">IF(BA9&gt;WEEKNUM(TODAY())," ", IF(AND(BA10="x",SUM($AB143:BA143)&gt;$AB141),AF9-(SUM($AB143:BA143)/SUM($AB141:$BG141)),IF(SUM($AB143:BA143)&gt;=$AB141," ",AF9-(SUM($AB143:BA143)/(SUM($AB141:$BG141))))))</f>
        <v xml:space="preserve"> </v>
      </c>
      <c r="BB144" s="44" t="str">
        <f ca="1">IF(BB9&gt;WEEKNUM(TODAY())," ", IF(AND(BB10="x",SUM($AB143:BB143)&gt;$AB141),AG9-(SUM($AB143:BB143)/SUM($AB141:$BG141)),IF(SUM($AB143:BB143)&gt;=$AB141," ",AG9-(SUM($AB143:BB143)/(SUM($AB141:$BG141))))))</f>
        <v xml:space="preserve"> </v>
      </c>
      <c r="BC144" s="44" t="str">
        <f ca="1">IF(BC9&gt;WEEKNUM(TODAY())," ", IF(AND(BC10="x",SUM($AB143:BC143)&gt;$AB141),AH9-(SUM($AB143:BC143)/SUM($AB141:$BG141)),IF(SUM($AB143:BC143)&gt;=$AB141," ",AH9-(SUM($AB143:BC143)/(SUM($AB141:$BG141))))))</f>
        <v xml:space="preserve"> </v>
      </c>
      <c r="BD144" s="44" t="str">
        <f ca="1">IF(BD9&gt;WEEKNUM(TODAY())," ", IF(AND(BD10="x",SUM($AB143:BD143)&gt;$AB141),AI9-(SUM($AB143:BD143)/SUM($AB141:$BG141)),IF(SUM($AB143:BD143)&gt;=$AB141," ",AI9-(SUM($AB143:BD143)/(SUM($AB141:$BG141))))))</f>
        <v xml:space="preserve"> </v>
      </c>
      <c r="BE144" s="44" t="str">
        <f ca="1">IF(BE9&gt;WEEKNUM(TODAY())," ", IF(AND(BE10="x",SUM($AB143:BE143)&gt;$AB141),AJ9-(SUM($AB143:BE143)/SUM($AB141:$BG141)),IF(SUM($AB143:BE143)&gt;=$AB141," ",AJ9-(SUM($AB143:BE143)/(SUM($AB141:$BG141))))))</f>
        <v xml:space="preserve"> </v>
      </c>
      <c r="BF144" s="44" t="str">
        <f ca="1">IF(BF9&gt;WEEKNUM(TODAY())," ", IF(AND(BF10="x",SUM($AB143:BF143)&gt;$AB141),AK9-(SUM($AB143:BF143)/SUM($AB141:$BG141)),IF(SUM($AB143:BF143)&gt;=$AB141," ",AK9-(SUM($AB143:BF143)/(SUM($AB141:$BG141))))))</f>
        <v xml:space="preserve"> </v>
      </c>
      <c r="BG144" s="44" t="str">
        <f ca="1">IF(BG9&gt;WEEKNUM(TODAY())," ", IF(AND(BG10="x",SUM($AB143:BG143)&gt;$AB141),AL9-(SUM($AB143:BG143)/SUM($AB141:$BG141)),IF(SUM($AB143:BG143)&gt;=$AB141," ",AL9-(SUM($AB143:BG143)/(SUM($AB141:$BG141))))))</f>
        <v xml:space="preserve"> </v>
      </c>
      <c r="BH144" s="21"/>
    </row>
    <row r="145" spans="2:60" ht="16.2" thickBot="1" x14ac:dyDescent="0.35">
      <c r="B145" s="70"/>
      <c r="C145" s="79"/>
      <c r="D145" s="84"/>
      <c r="E145" s="57"/>
      <c r="F145" s="117"/>
      <c r="H145" s="49" t="str">
        <f>IF(H141= " ", " ",IF(H143&gt;SUM($H141:$BG141), " N/A", IF(SUM($H143:$BG143)=SUM($H141:BG141), " ", IF(H143=SUM($H141:BG141), " ", "x"))))</f>
        <v>x</v>
      </c>
      <c r="I145" s="50" t="str">
        <f>IF(SUM($H143:I143) &gt; SUM($H141:I141),  " N/A", IF(SUM($H143:$BG143) = SUM($H141:$BH141),    " ",IF(I143 = SUM($H141:$BH141),  " ",   "x")))</f>
        <v>x</v>
      </c>
      <c r="J145" s="50" t="str">
        <f>IF(SUM($H143:J143) &gt; SUM($H141:J141),  " N/A", IF(SUM($H143:$BG143) = SUM($H141:$BH141),    " ",IF(J143 = SUM($H141:$BH141),  " ",   "x")))</f>
        <v>x</v>
      </c>
      <c r="K145" s="50" t="str">
        <f>IF(SUM($H143:K143) &gt; SUM($H141:K141),  " N/A", IF(SUM($H143:$BG143) = SUM($H141:$BH141),    " ",IF(K143 = SUM($H141:$BH141),  " ",   "x")))</f>
        <v>x</v>
      </c>
      <c r="L145" s="50" t="str">
        <f>IF(SUM($H143:L143) &gt; SUM($H141:L141),  " N/A", IF(SUM($H143:$BG143) = SUM($H141:$BH141),    " ",IF(L143 = SUM($H141:$BH141),  " ",   "x")))</f>
        <v>x</v>
      </c>
      <c r="M145" s="50" t="str">
        <f>IF(SUM($H143:M143) &gt; SUM($H141:M141),  " N/A", IF(SUM($H143:$BG143) = SUM($H141:$BH141),    " ",IF(M143 = SUM($H141:$BH141),  " ",   "x")))</f>
        <v>x</v>
      </c>
      <c r="N145" s="50" t="str">
        <f>IF(SUM($H143:N143) &gt; SUM($H141:N141),  " N/A", IF(SUM($H143:$BG143) = SUM($H141:$BH141),    " ",IF(N143 = SUM($H141:$BH141),  " ",   "x")))</f>
        <v>x</v>
      </c>
      <c r="O145" s="50" t="str">
        <f>IF(SUM($H143:O143) &gt; SUM($H141:O141),  " N/A", IF(SUM($H143:$BG143) = SUM($H141:$BH141),    " ",IF(O143 = SUM($H141:$BH141),  " ",   "x")))</f>
        <v>x</v>
      </c>
      <c r="P145" s="50" t="str">
        <f>IF(SUM($H143:P143) &gt; SUM($H141:P141),  " N/A", IF(SUM($H143:$BG143) = SUM($H141:$BH141),    " ",IF(P143 = SUM($H141:$BH141),  " ",   "x")))</f>
        <v>x</v>
      </c>
      <c r="Q145" s="50" t="str">
        <f>IF(SUM($H143:Q143) &gt; SUM($H141:Q141),  " N/A", IF(SUM($H143:$BG143) = SUM($H141:$BH141),    " ",IF(Q143 = SUM($H141:$BH141),  " ",   "x")))</f>
        <v>x</v>
      </c>
      <c r="R145" s="50" t="str">
        <f>IF(SUM($H143:R143) &gt; SUM($H141:R141),  " N/A", IF(SUM($H143:$BG143) = SUM($H141:$BH141),    " ",IF(R143 = SUM($H141:$BH141),  " ",   "x")))</f>
        <v>x</v>
      </c>
      <c r="S145" s="50" t="str">
        <f>IF(SUM($H143:S143) &gt; SUM($H141:S141),  " N/A", IF(SUM($H143:$BG143) = SUM($H141:$BH141),    " ",IF(S143 = SUM($H141:$BH141),  " ",   "x")))</f>
        <v>x</v>
      </c>
      <c r="T145" s="50" t="str">
        <f>IF(SUM($H143:T143) &gt; SUM($H141:T141),  " N/A", IF(SUM($H143:$BG143) = SUM($H141:$BH141),    " ",IF(T143 = SUM($H141:$BH141),  " ",   "x")))</f>
        <v>x</v>
      </c>
      <c r="U145" s="50" t="str">
        <f>IF(SUM($H143:U143) &gt; SUM($H141:U141),  " N/A", IF(SUM($H143:$BG143) = SUM($H141:$BH141),    " ",IF(U143 = SUM($H141:$BH141),  " ",   "x")))</f>
        <v>x</v>
      </c>
      <c r="V145" s="50" t="str">
        <f>IF(SUM($H143:V143) &gt; SUM($H141:V141),  " N/A", IF(SUM($H143:$BG143) = SUM($H141:$BH141),    " ",IF(V143 = SUM($H141:$BH141),  " ",   "x")))</f>
        <v>x</v>
      </c>
      <c r="W145" s="50" t="str">
        <f>IF(SUM($H143:W143) &gt; SUM($H141:W141),  " N/A", IF(SUM($H143:$BG143) = SUM($H141:$BH141),    " ",IF(W143 = SUM($H141:$BH141),  " ",   "x")))</f>
        <v>x</v>
      </c>
      <c r="X145" s="50" t="str">
        <f>IF(SUM($H143:X143) &gt; SUM($H141:X141),  " N/A", IF(SUM($H143:$BG143) = SUM($H141:$BH141),    " ",IF(X143 = SUM($H141:$BH141),  " ",   "x")))</f>
        <v>x</v>
      </c>
      <c r="Y145" s="50" t="str">
        <f>IF(SUM($H143:Y143) &gt; SUM($H141:Y141),  " N/A", IF(SUM($H143:$BG143) = SUM($H141:$BH141),    " ",IF(Y143 = SUM($H141:$BH141),  " ",   "x")))</f>
        <v>x</v>
      </c>
      <c r="Z145" s="50" t="str">
        <f>IF(SUM($H143:Z143) &gt; SUM($H141:Z141),  " N/A", IF(SUM($H143:$BG143) = SUM($H141:$BH141),    " ",IF(Z143 = SUM($H141:$BH141),  " ",   "x")))</f>
        <v>x</v>
      </c>
      <c r="AA145" s="50" t="str">
        <f>IF(SUM($H143:AA143) &gt; SUM($H141:AA141),  " N/A", IF(SUM($H143:$BG143) = SUM($H141:$BH141),    " ",IF(AA143 = SUM($H141:$BH141),  " ",   "x")))</f>
        <v>x</v>
      </c>
      <c r="AB145" s="50" t="str">
        <f>IF(SUM($H143:AB143) &gt; SUM($H141:AB141),  " N/A", IF(SUM($H143:$BG143) = SUM($H141:$BH141),    " ",IF(AB143 = SUM($H141:$BH141),  " ",   "x")))</f>
        <v>x</v>
      </c>
      <c r="AC145" s="50" t="str">
        <f>IF(SUM($H143:AC143) &gt; SUM($H141:AC141),  " N/A", IF(SUM($H143:$BG143) = SUM($H141:$BH141),    " ",IF(AC143 = SUM($H141:$BH141),  " ",   "x")))</f>
        <v>x</v>
      </c>
      <c r="AD145" s="50" t="str">
        <f>IF(SUM($H143:AD143) &gt; SUM($H141:AD141),  " N/A", IF(SUM($H143:$BG143) = SUM($H141:$BH141),    " ",IF(AD143 = SUM($H141:$BH141),  " ",   "x")))</f>
        <v>x</v>
      </c>
      <c r="AE145" s="50" t="str">
        <f>IF(SUM($H143:AE143) &gt; SUM($H141:AE141),  " N/A", IF(SUM($H143:$BG143) = SUM($H141:$BH141),    " ",IF(AE143 = SUM($H141:$BH141),  " ",   "x")))</f>
        <v>x</v>
      </c>
      <c r="AF145" s="50" t="str">
        <f>IF(SUM($H143:AF143) &gt; SUM($H141:AF141),  " N/A", IF(SUM($H143:$BG143) = SUM($H141:$BH141),    " ",IF(AF143 = SUM($H141:$BH141),  " ",   "x")))</f>
        <v>x</v>
      </c>
      <c r="AG145" s="50" t="str">
        <f>IF(SUM($H143:AG143) &gt; SUM($H141:AG141),  " N/A", IF(SUM($H143:$BG143) = SUM($H141:$BH141),    " ",IF(AG143 = SUM($H141:$BH141),  " ",   "x")))</f>
        <v>x</v>
      </c>
      <c r="AH145" s="50" t="str">
        <f>IF(SUM($H143:AH143) &gt; SUM($H141:AH141),  " N/A", IF(SUM($H143:$BG143) = SUM($H141:$BH141),    " ",IF(AH143 = SUM($H141:$BH141),  " ",   "x")))</f>
        <v>x</v>
      </c>
      <c r="AI145" s="50" t="str">
        <f>IF(SUM($H143:AI143) &gt; SUM($H141:AI141),  " N/A", IF(SUM($H143:$BG143) = SUM($H141:$BH141),    " ",IF(AI143 = SUM($H141:$BH141),  " ",   "x")))</f>
        <v>x</v>
      </c>
      <c r="AJ145" s="50" t="str">
        <f>IF(SUM($H143:AJ143) &gt; SUM($H141:AJ141),  " N/A", IF(SUM($H143:$BG143) = SUM($H141:$BH141),    " ",IF(AJ143 = SUM($H141:$BH141),  " ",   "x")))</f>
        <v>x</v>
      </c>
      <c r="AK145" s="50" t="str">
        <f>IF(SUM($H143:AK143) &gt; SUM($H141:AK141),  " N/A", IF(SUM($H143:$BG143) = SUM($H141:$BH141),    " ",IF(AK143 = SUM($H141:$BH141),  " ",   "x")))</f>
        <v>x</v>
      </c>
      <c r="AL145" s="50" t="str">
        <f>IF(SUM($H143:AL143) &gt; SUM($H141:AL141),  " N/A", IF(SUM($H143:$BG143) = SUM($H141:$BH141),    " ",IF(AL143 = SUM($H141:$BH141),  " ",   "x")))</f>
        <v>x</v>
      </c>
      <c r="AM145" s="50" t="str">
        <f>IF(SUM($H143:AM143) &gt; SUM($H141:AM141),  " N/A", IF(SUM($H143:$BG143) = SUM($H141:$BH141),    " ",IF(AM143 = SUM($H141:$BH141),  " ",   "x")))</f>
        <v>x</v>
      </c>
      <c r="AN145" s="50" t="str">
        <f>IF(SUM($H143:AN143) &gt; SUM($H141:AN141),  " N/A", IF(SUM($H143:$BG143) = SUM($H141:$BH141),    " ",IF(AN143 = SUM($H141:$BH141),  " ",   "x")))</f>
        <v>x</v>
      </c>
      <c r="AO145" s="50" t="str">
        <f>IF(SUM($H143:AO143) &gt; SUM($H141:AO141),  " N/A", IF(SUM($H143:$BG143) = SUM($H141:$BH141),    " ",IF(AO143 = SUM($H141:$BH141),  " ",   "x")))</f>
        <v>x</v>
      </c>
      <c r="AP145" s="50" t="str">
        <f>IF(SUM($H143:AP143) &gt; SUM($H141:AP141),  " N/A", IF(SUM($H143:$BG143) = SUM($H141:$BH141),    " ",IF(AP143 = SUM($H141:$BH141),  " ",   "x")))</f>
        <v>x</v>
      </c>
      <c r="AQ145" s="50" t="str">
        <f>IF(SUM($H143:AQ143) &gt; SUM($H141:AQ141),  " N/A", IF(SUM($H143:$BG143) = SUM($H141:$BH141),    " ",IF(AQ143 = SUM($H141:$BH141),  " ",   "x")))</f>
        <v>x</v>
      </c>
      <c r="AR145" s="50" t="str">
        <f>IF(SUM($H143:AR143) &gt; SUM($H141:AR141),  " N/A", IF(SUM($H143:$BG143) = SUM($H141:$BH141),    " ",IF(AR143 = SUM($H141:$BH141),  " ",   "x")))</f>
        <v>x</v>
      </c>
      <c r="AS145" s="50" t="str">
        <f>IF(SUM($H143:AS143) &gt; SUM($H141:AS141),  " N/A", IF(SUM($H143:$BG143) = SUM($H141:$BH141),    " ",IF(AS143 = SUM($H141:$BH141),  " ",   "x")))</f>
        <v>x</v>
      </c>
      <c r="AT145" s="50" t="str">
        <f>IF(SUM($H143:AT143) &gt; SUM($H141:AT141),  " N/A", IF(SUM($H143:$BG143) = SUM($H141:$BH141),    " ",IF(AT143 = SUM($H141:$BH141),  " ",   "x")))</f>
        <v>x</v>
      </c>
      <c r="AU145" s="50" t="str">
        <f>IF(SUM($H143:AU143) &gt; SUM($H141:AU141),  " N/A", IF(SUM($H143:$BG143) = SUM($H141:$BH141),    " ",IF(AU143 = SUM($H141:$BH141),  " ",   "x")))</f>
        <v>x</v>
      </c>
      <c r="AV145" s="50" t="str">
        <f>IF(SUM($H143:AV143) &gt; SUM($H141:AV141),  " N/A", IF(SUM($H143:$BG143) = SUM($H141:$BH141),    " ",IF(AV143 = SUM($H141:$BH141),  " ",   "x")))</f>
        <v>x</v>
      </c>
      <c r="AW145" s="50" t="str">
        <f>IF(SUM($H143:AW143) &gt; SUM($H141:AW141),  " N/A", IF(SUM($H143:$BG143) = SUM($H141:$BH141),    " ",IF(AW143 = SUM($H141:$BH141),  " ",   "x")))</f>
        <v>x</v>
      </c>
      <c r="AX145" s="50" t="str">
        <f>IF(SUM($H143:AX143) &gt; SUM($H141:AX141),  " N/A", IF(SUM($H143:$BG143) = SUM($H141:$BH141),    " ",IF(AX143 = SUM($H141:$BH141),  " ",   "x")))</f>
        <v>x</v>
      </c>
      <c r="AY145" s="50" t="str">
        <f>IF(SUM($H143:AY143) &gt; SUM($H141:AY141),  " N/A", IF(SUM($H143:$BG143) = SUM($H141:$BH141),    " ",IF(AY143 = SUM($H141:$BH141),  " ",   "x")))</f>
        <v>x</v>
      </c>
      <c r="AZ145" s="50" t="str">
        <f>IF(SUM($H143:AZ143) &gt; SUM($H141:AZ141),  " N/A", IF(SUM($H143:$BG143) = SUM($H141:$BH141),    " ",IF(AZ143 = SUM($H141:$BH141),  " ",   "x")))</f>
        <v>x</v>
      </c>
      <c r="BA145" s="50" t="str">
        <f>IF(SUM($H143:BA143) &gt; SUM($H141:BA141),  " N/A", IF(SUM($H143:$BG143) = SUM($H141:$BH141),    " ",IF(BA143 = SUM($H141:$BH141),  " ",   "x")))</f>
        <v>x</v>
      </c>
      <c r="BB145" s="50" t="str">
        <f>IF(SUM($H143:BB143) &gt; SUM($H141:BB141),  " N/A", IF(SUM($H143:$BG143) = SUM($H141:$BH141),    " ",IF(BB143 = SUM($H141:$BH141),  " ",   "x")))</f>
        <v>x</v>
      </c>
      <c r="BC145" s="50" t="str">
        <f>IF(SUM($H143:BC143) &gt; SUM($H141:BC141),  " N/A", IF(SUM($H143:$BG143) = SUM($H141:$BH141),    " ",IF(BC143 = SUM($H141:$BH141),  " ",   "x")))</f>
        <v>x</v>
      </c>
      <c r="BD145" s="50" t="str">
        <f>IF(SUM($H143:BD143) &gt; SUM($H141:BD141),  " N/A", IF(SUM($H143:$BG143) = SUM($H141:$BH141),    " ",IF(BD143 = SUM($H141:$BH141),  " ",   "x")))</f>
        <v>x</v>
      </c>
      <c r="BE145" s="50" t="str">
        <f>IF(SUM($H143:BE143) &gt; SUM($H141:BE141),  " N/A", IF(SUM($H143:$BG143) = SUM($H141:$BH141),    " ",IF(BE143 = SUM($H141:$BH141),  " ",   "x")))</f>
        <v>x</v>
      </c>
      <c r="BF145" s="50" t="str">
        <f>IF(SUM($H143:BF143) &gt; SUM($H141:BF141),  " N/A", IF(SUM($H143:$BG143) = SUM($H141:$BH141),    " ",IF(BF143 = SUM($H141:$BH141),  " ",   "x")))</f>
        <v>x</v>
      </c>
      <c r="BG145" s="50" t="str">
        <f>IF(SUM($H143:BG143) &gt; SUM($H141:BG141),  " N/A", IF(SUM($H143:$BG143) = SUM($H141:$BH141),    " ",IF(BG143 = SUM($H141:$BH141),  " ",   "x")))</f>
        <v>x</v>
      </c>
      <c r="BH145" s="21"/>
    </row>
    <row r="146" spans="2:60" ht="15.6" x14ac:dyDescent="0.3">
      <c r="B146" s="71"/>
      <c r="C146" s="77"/>
      <c r="D146" s="82" t="s">
        <v>249</v>
      </c>
      <c r="E146" s="54">
        <f>SUM(H146:BG146)</f>
        <v>60</v>
      </c>
      <c r="F146" s="115">
        <f>Gant_24!$E146-E148</f>
        <v>60</v>
      </c>
      <c r="H146" s="41"/>
      <c r="I146" s="42"/>
      <c r="J146" s="42"/>
      <c r="K146" s="42"/>
      <c r="L146" s="51"/>
      <c r="M146" s="51"/>
      <c r="N146" s="51"/>
      <c r="O146" s="51"/>
      <c r="P146" s="51"/>
      <c r="Q146" s="51"/>
      <c r="R146" s="51"/>
      <c r="S146" s="51"/>
      <c r="T146" s="51"/>
      <c r="U146" s="51"/>
      <c r="V146" s="51"/>
      <c r="W146" s="51"/>
      <c r="X146" s="51"/>
      <c r="Y146" s="51"/>
      <c r="Z146" s="51"/>
      <c r="AA146" s="51"/>
      <c r="AB146" s="51"/>
      <c r="AC146" s="51"/>
      <c r="AD146" s="51">
        <v>60</v>
      </c>
      <c r="AE146" s="51"/>
      <c r="AF146" s="51"/>
      <c r="AG146" s="51"/>
      <c r="AH146" s="51"/>
      <c r="AI146" s="51"/>
      <c r="AJ146" s="51"/>
      <c r="AK146" s="51"/>
      <c r="AL146" s="51"/>
      <c r="AM146" s="51"/>
      <c r="AN146" s="51"/>
      <c r="AO146" s="51"/>
      <c r="AP146" s="51"/>
      <c r="AQ146" s="51"/>
      <c r="AR146" s="51"/>
      <c r="AS146" s="51"/>
      <c r="AT146" s="51"/>
      <c r="AU146" s="51"/>
      <c r="AV146" s="51"/>
      <c r="AW146" s="51"/>
      <c r="AX146" s="51"/>
      <c r="AY146" s="51"/>
      <c r="AZ146" s="51"/>
      <c r="BA146" s="51"/>
      <c r="BB146" s="51"/>
      <c r="BC146" s="51"/>
      <c r="BD146" s="51"/>
      <c r="BE146" s="51"/>
      <c r="BF146" s="51"/>
      <c r="BG146" s="51"/>
      <c r="BH146" s="21"/>
    </row>
    <row r="147" spans="2:60" ht="15.6" x14ac:dyDescent="0.3">
      <c r="B147" s="68"/>
      <c r="C147" s="78"/>
      <c r="D147" s="83" t="s">
        <v>261</v>
      </c>
      <c r="E147" s="55">
        <f>SUM(H147:BG147)</f>
        <v>48</v>
      </c>
      <c r="F147" s="116"/>
      <c r="H147" s="43"/>
      <c r="I147" s="44"/>
      <c r="J147" s="44"/>
      <c r="K147" s="44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50"/>
      <c r="Y147" s="50"/>
      <c r="Z147" s="50"/>
      <c r="AA147" s="50"/>
      <c r="AB147" s="50"/>
      <c r="AC147" s="50"/>
      <c r="AD147" s="50"/>
      <c r="AE147" s="50"/>
      <c r="AF147" s="50">
        <v>18</v>
      </c>
      <c r="AG147" s="50">
        <v>16</v>
      </c>
      <c r="AH147" s="50">
        <v>14</v>
      </c>
      <c r="AI147" s="50"/>
      <c r="AJ147" s="50"/>
      <c r="AK147" s="50"/>
      <c r="AL147" s="50"/>
      <c r="AM147" s="50"/>
      <c r="AN147" s="50"/>
      <c r="AO147" s="50"/>
      <c r="AP147" s="50"/>
      <c r="AQ147" s="50"/>
      <c r="AR147" s="50"/>
      <c r="AS147" s="50"/>
      <c r="AT147" s="50"/>
      <c r="AU147" s="50"/>
      <c r="AV147" s="50"/>
      <c r="AW147" s="50"/>
      <c r="AX147" s="50"/>
      <c r="AY147" s="50"/>
      <c r="AZ147" s="50"/>
      <c r="BA147" s="50"/>
      <c r="BB147" s="50"/>
      <c r="BC147" s="50"/>
      <c r="BD147" s="50"/>
      <c r="BE147" s="50"/>
      <c r="BF147" s="50"/>
      <c r="BG147" s="50"/>
      <c r="BH147" s="21"/>
    </row>
    <row r="148" spans="2:60" ht="15.6" x14ac:dyDescent="0.3">
      <c r="B148" s="68" t="s">
        <v>136</v>
      </c>
      <c r="C148" s="78" t="s">
        <v>137</v>
      </c>
      <c r="D148" s="83" t="s">
        <v>241</v>
      </c>
      <c r="E148" s="55">
        <f>SUM(H148:BG148)</f>
        <v>0</v>
      </c>
      <c r="F148" s="116"/>
      <c r="H148" s="45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  <c r="AO148" s="46"/>
      <c r="AP148" s="46"/>
      <c r="AQ148" s="46"/>
      <c r="AR148" s="46"/>
      <c r="AS148" s="46"/>
      <c r="AT148" s="46"/>
      <c r="AU148" s="46"/>
      <c r="AV148" s="46"/>
      <c r="AW148" s="46"/>
      <c r="AX148" s="46"/>
      <c r="AY148" s="46"/>
      <c r="AZ148" s="46"/>
      <c r="BA148" s="46"/>
      <c r="BB148" s="46"/>
      <c r="BC148" s="46"/>
      <c r="BD148" s="46"/>
      <c r="BE148" s="46"/>
      <c r="BF148" s="46"/>
      <c r="BG148" s="46"/>
      <c r="BH148" s="21"/>
    </row>
    <row r="149" spans="2:60" ht="15.6" x14ac:dyDescent="0.3">
      <c r="B149" s="68"/>
      <c r="C149" s="78"/>
      <c r="D149" s="83" t="s">
        <v>278</v>
      </c>
      <c r="E149" s="56">
        <f ca="1">MAX(H149:BG149)</f>
        <v>0</v>
      </c>
      <c r="F149" s="116"/>
      <c r="H149" s="47"/>
      <c r="I149" s="48"/>
      <c r="J149" s="48"/>
      <c r="K149" s="48"/>
      <c r="L149" s="50"/>
      <c r="M149" s="50"/>
      <c r="N149" s="50"/>
      <c r="O149" s="50"/>
      <c r="P149" s="50"/>
      <c r="Q149" s="50"/>
      <c r="R149" s="50"/>
      <c r="S149" s="50"/>
      <c r="T149" s="50"/>
      <c r="U149" s="50"/>
      <c r="V149" s="50"/>
      <c r="W149" s="50"/>
      <c r="X149" s="50"/>
      <c r="Y149" s="50"/>
      <c r="Z149" s="50"/>
      <c r="AA149" s="44"/>
      <c r="AB149" s="44"/>
      <c r="AC149" s="44"/>
      <c r="AD149" s="44" t="str">
        <f>IF(SUM(H146:BG146) = AD148, " 0 ", " ")</f>
        <v xml:space="preserve"> </v>
      </c>
      <c r="AE149" s="44" t="str">
        <f ca="1">IF(AE9&gt;WEEKNUM(TODAY())," ", IF(AND(AE10="x",SUM($AD148:AE148)&gt;$AD146),H9-(SUM($AD148:AE148)/SUM($AD146:$BG146)),IF(SUM($AD148:AE148)&gt;=$AD146," ",H9-(SUM($AD148:AE148)/(SUM($AD146:$BG146))))))</f>
        <v xml:space="preserve"> </v>
      </c>
      <c r="AF149" s="44" t="str">
        <f ca="1">IF(AF9&gt;WEEKNUM(TODAY())," ", IF(AND(AF10="x",SUM($AD148:AF148)&gt;$AD146),I9-(SUM($AD148:AF148)/SUM($AD146:$BG146)),IF(SUM($AD148:AF148)&gt;=$AD146," ",I9-(SUM($AD148:AF148)/(SUM($AD146:$BG146))))))</f>
        <v xml:space="preserve"> </v>
      </c>
      <c r="AG149" s="44" t="str">
        <f ca="1">IF(AG9&gt;WEEKNUM(TODAY())," ", IF(AND(AG10="x",SUM($AD148:AG148)&gt;$AD146),J9-(SUM($AD148:AG148)/SUM($AD146:$BG146)),IF(SUM($AD148:AG148)&gt;=$AD146," ",J9-(SUM($AD148:AG148)/(SUM($AD146:$BG146))))))</f>
        <v xml:space="preserve"> </v>
      </c>
      <c r="AH149" s="44" t="str">
        <f ca="1">IF(AH9&gt;WEEKNUM(TODAY())," ", IF(AND(AH10="x",SUM($AD148:AH148)&gt;$AD146),K9-(SUM($AD148:AH148)/SUM($AD146:$BG146)),IF(SUM($AD148:AH148)&gt;=$AD146," ",K9-(SUM($AD148:AH148)/(SUM($AD146:$BG146))))))</f>
        <v xml:space="preserve"> </v>
      </c>
      <c r="AI149" s="44" t="str">
        <f ca="1">IF(AI9&gt;WEEKNUM(TODAY())," ", IF(AND(AI10="x",SUM($AD148:AI148)&gt;$AD146),L9-(SUM($AD148:AI148)/SUM($AD146:$BG146)),IF(SUM($AD148:AI148)&gt;=$AD146," ",L9-(SUM($AD148:AI148)/(SUM($AD146:$BG146))))))</f>
        <v xml:space="preserve"> </v>
      </c>
      <c r="AJ149" s="44" t="str">
        <f ca="1">IF(AJ9&gt;WEEKNUM(TODAY())," ", IF(AND(AJ10="x",SUM($AD148:AJ148)&gt;$AD146),M9-(SUM($AD148:AJ148)/SUM($AD146:$BG146)),IF(SUM($AD148:AJ148)&gt;=$AD146," ",M9-(SUM($AD148:AJ148)/(SUM($AD146:$BG146))))))</f>
        <v xml:space="preserve"> </v>
      </c>
      <c r="AK149" s="44" t="str">
        <f ca="1">IF(AK9&gt;WEEKNUM(TODAY())," ", IF(AND(AK10="x",SUM($AD148:AK148)&gt;$AD146),N9-(SUM($AD148:AK148)/SUM($AD146:$BG146)),IF(SUM($AD148:AK148)&gt;=$AD146," ",N9-(SUM($AD148:AK148)/(SUM($AD146:$BG146))))))</f>
        <v xml:space="preserve"> </v>
      </c>
      <c r="AL149" s="44" t="str">
        <f ca="1">IF(AL9&gt;WEEKNUM(TODAY())," ", IF(AND(AL10="x",SUM($AD148:AL148)&gt;$AD146),O9-(SUM($AD148:AL148)/SUM($AD146:$BG146)),IF(SUM($AD148:AL148)&gt;=$AD146," ",O9-(SUM($AD148:AL148)/(SUM($AD146:$BG146))))))</f>
        <v xml:space="preserve"> </v>
      </c>
      <c r="AM149" s="44" t="str">
        <f ca="1">IF(AM9&gt;WEEKNUM(TODAY())," ", IF(AND(AM10="x",SUM($AD148:AM148)&gt;$AD146),P9-(SUM($AD148:AM148)/SUM($AD146:$BG146)),IF(SUM($AD148:AM148)&gt;=$AD146," ",P9-(SUM($AD148:AM148)/(SUM($AD146:$BG146))))))</f>
        <v xml:space="preserve"> </v>
      </c>
      <c r="AN149" s="44" t="str">
        <f ca="1">IF(AN9&gt;WEEKNUM(TODAY())," ", IF(AND(AN10="x",SUM($AD148:AN148)&gt;$AD146),Q9-(SUM($AD148:AN148)/SUM($AD146:$BG146)),IF(SUM($AD148:AN148)&gt;=$AD146," ",Q9-(SUM($AD148:AN148)/(SUM($AD146:$BG146))))))</f>
        <v xml:space="preserve"> </v>
      </c>
      <c r="AO149" s="44" t="str">
        <f ca="1">IF(AO9&gt;WEEKNUM(TODAY())," ", IF(AND(AO10="x",SUM($AD148:AO148)&gt;$AD146),R9-(SUM($AD148:AO148)/SUM($AD146:$BG146)),IF(SUM($AD148:AO148)&gt;=$AD146," ",R9-(SUM($AD148:AO148)/(SUM($AD146:$BG146))))))</f>
        <v xml:space="preserve"> </v>
      </c>
      <c r="AP149" s="44" t="str">
        <f ca="1">IF(AP9&gt;WEEKNUM(TODAY())," ", IF(AND(AP10="x",SUM($AD148:AP148)&gt;$AD146),S9-(SUM($AD148:AP148)/SUM($AD146:$BG146)),IF(SUM($AD148:AP148)&gt;=$AD146," ",S9-(SUM($AD148:AP148)/(SUM($AD146:$BG146))))))</f>
        <v xml:space="preserve"> </v>
      </c>
      <c r="AQ149" s="44" t="str">
        <f ca="1">IF(AQ9&gt;WEEKNUM(TODAY())," ", IF(AND(AQ10="x",SUM($AD148:AQ148)&gt;$AD146),T9-(SUM($AD148:AQ148)/SUM($AD146:$BG146)),IF(SUM($AD148:AQ148)&gt;=$AD146," ",T9-(SUM($AD148:AQ148)/(SUM($AD146:$BG146))))))</f>
        <v xml:space="preserve"> </v>
      </c>
      <c r="AR149" s="44" t="str">
        <f ca="1">IF(AR9&gt;WEEKNUM(TODAY())," ", IF(AND(AR10="x",SUM($AD148:AR148)&gt;$AD146),U9-(SUM($AD148:AR148)/SUM($AD146:$BG146)),IF(SUM($AD148:AR148)&gt;=$AD146," ",U9-(SUM($AD148:AR148)/(SUM($AD146:$BG146))))))</f>
        <v xml:space="preserve"> </v>
      </c>
      <c r="AS149" s="44" t="str">
        <f ca="1">IF(AS9&gt;WEEKNUM(TODAY())," ", IF(AND(AS10="x",SUM($AD148:AS148)&gt;$AD146),V9-(SUM($AD148:AS148)/SUM($AD146:$BG146)),IF(SUM($AD148:AS148)&gt;=$AD146," ",V9-(SUM($AD148:AS148)/(SUM($AD146:$BG146))))))</f>
        <v xml:space="preserve"> </v>
      </c>
      <c r="AT149" s="44" t="str">
        <f ca="1">IF(AT9&gt;WEEKNUM(TODAY())," ", IF(AND(AT10="x",SUM($AD148:AT148)&gt;$AD146),W9-(SUM($AD148:AT148)/SUM($AD146:$BG146)),IF(SUM($AD148:AT148)&gt;=$AD146," ",W9-(SUM($AD148:AT148)/(SUM($AD146:$BG146))))))</f>
        <v xml:space="preserve"> </v>
      </c>
      <c r="AU149" s="44" t="str">
        <f ca="1">IF(AU9&gt;WEEKNUM(TODAY())," ", IF(AND(AU10="x",SUM($AD148:AU148)&gt;$AD146),X9-(SUM($AD148:AU148)/SUM($AD146:$BG146)),IF(SUM($AD148:AU148)&gt;=$AD146," ",X9-(SUM($AD148:AU148)/(SUM($AD146:$BG146))))))</f>
        <v xml:space="preserve"> </v>
      </c>
      <c r="AV149" s="44" t="str">
        <f ca="1">IF(AV9&gt;WEEKNUM(TODAY())," ", IF(AND(AV10="x",SUM($AD148:AV148)&gt;$AD146),Y9-(SUM($AD148:AV148)/SUM($AD146:$BG146)),IF(SUM($AD148:AV148)&gt;=$AD146," ",Y9-(SUM($AD148:AV148)/(SUM($AD146:$BG146))))))</f>
        <v xml:space="preserve"> </v>
      </c>
      <c r="AW149" s="44" t="str">
        <f ca="1">IF(AW9&gt;WEEKNUM(TODAY())," ", IF(AND(AW10="x",SUM($AD148:AW148)&gt;$AD146),Z9-(SUM($AD148:AW148)/SUM($AD146:$BG146)),IF(SUM($AD148:AW148)&gt;=$AD146," ",Z9-(SUM($AD148:AW148)/(SUM($AD146:$BG146))))))</f>
        <v xml:space="preserve"> </v>
      </c>
      <c r="AX149" s="44" t="str">
        <f ca="1">IF(AX9&gt;WEEKNUM(TODAY())," ", IF(AND(AX10="x",SUM($AD148:AX148)&gt;$AD146),AA9-(SUM($AD148:AX148)/SUM($AD146:$BG146)),IF(SUM($AD148:AX148)&gt;=$AD146," ",AA9-(SUM($AD148:AX148)/(SUM($AD146:$BG146))))))</f>
        <v xml:space="preserve"> </v>
      </c>
      <c r="AY149" s="44" t="str">
        <f ca="1">IF(AY9&gt;WEEKNUM(TODAY())," ", IF(AND(AY10="x",SUM($AD148:AY148)&gt;$AD146),AB9-(SUM($AD148:AY148)/SUM($AD146:$BG146)),IF(SUM($AD148:AY148)&gt;=$AD146," ",AB9-(SUM($AD148:AY148)/(SUM($AD146:$BG146))))))</f>
        <v xml:space="preserve"> </v>
      </c>
      <c r="AZ149" s="44" t="str">
        <f ca="1">IF(AZ9&gt;WEEKNUM(TODAY())," ", IF(AND(AZ10="x",SUM($AD148:AZ148)&gt;$AD146),AC9-(SUM($AD148:AZ148)/SUM($AD146:$BG146)),IF(SUM($AD148:AZ148)&gt;=$AD146," ",AC9-(SUM($AD148:AZ148)/(SUM($AD146:$BG146))))))</f>
        <v xml:space="preserve"> </v>
      </c>
      <c r="BA149" s="44" t="str">
        <f ca="1">IF(BA9&gt;WEEKNUM(TODAY())," ", IF(AND(BA10="x",SUM($AD148:BA148)&gt;$AD146),AD9-(SUM($AD148:BA148)/SUM($AD146:$BG146)),IF(SUM($AD148:BA148)&gt;=$AD146," ",AD9-(SUM($AD148:BA148)/(SUM($AD146:$BG146))))))</f>
        <v xml:space="preserve"> </v>
      </c>
      <c r="BB149" s="44" t="str">
        <f ca="1">IF(BB9&gt;WEEKNUM(TODAY())," ", IF(AND(BB10="x",SUM($AD148:BB148)&gt;$AD146),AE9-(SUM($AD148:BB148)/SUM($AD146:$BG146)),IF(SUM($AD148:BB148)&gt;=$AD146," ",AE9-(SUM($AD148:BB148)/(SUM($AD146:$BG146))))))</f>
        <v xml:space="preserve"> </v>
      </c>
      <c r="BC149" s="44" t="str">
        <f ca="1">IF(BC9&gt;WEEKNUM(TODAY())," ", IF(AND(BC10="x",SUM($AD148:BC148)&gt;$AD146),AF9-(SUM($AD148:BC148)/SUM($AD146:$BG146)),IF(SUM($AD148:BC148)&gt;=$AD146," ",AF9-(SUM($AD148:BC148)/(SUM($AD146:$BG146))))))</f>
        <v xml:space="preserve"> </v>
      </c>
      <c r="BD149" s="44" t="str">
        <f ca="1">IF(BD9&gt;WEEKNUM(TODAY())," ", IF(AND(BD10="x",SUM($AD148:BD148)&gt;$AD146),AG9-(SUM($AD148:BD148)/SUM($AD146:$BG146)),IF(SUM($AD148:BD148)&gt;=$AD146," ",AG9-(SUM($AD148:BD148)/(SUM($AD146:$BG146))))))</f>
        <v xml:space="preserve"> </v>
      </c>
      <c r="BE149" s="44" t="str">
        <f ca="1">IF(BE9&gt;WEEKNUM(TODAY())," ", IF(AND(BE10="x",SUM($AD148:BE148)&gt;$AD146),AH9-(SUM($AD148:BE148)/SUM($AD146:$BG146)),IF(SUM($AD148:BE148)&gt;=$AD146," ",AH9-(SUM($AD148:BE148)/(SUM($AD146:$BG146))))))</f>
        <v xml:space="preserve"> </v>
      </c>
      <c r="BF149" s="44" t="str">
        <f ca="1">IF(BF9&gt;WEEKNUM(TODAY())," ", IF(AND(BF10="x",SUM($AD148:BF148)&gt;$AD146),AI9-(SUM($AD148:BF148)/SUM($AD146:$BG146)),IF(SUM($AD148:BF148)&gt;=$AD146," ",AI9-(SUM($AD148:BF148)/(SUM($AD146:$BG146))))))</f>
        <v xml:space="preserve"> </v>
      </c>
      <c r="BG149" s="44" t="str">
        <f ca="1">IF(BG9&gt;WEEKNUM(TODAY())," ", IF(AND(BG10="x",SUM($AD148:BG148)&gt;$AD146),AJ9-(SUM($AD148:BG148)/SUM($AD146:$BG146)),IF(SUM($AD148:BG148)&gt;=$AD146," ",AJ9-(SUM($AD148:BG148)/(SUM($AD146:$BG146))))))</f>
        <v xml:space="preserve"> </v>
      </c>
      <c r="BH149" s="21"/>
    </row>
    <row r="150" spans="2:60" ht="16.2" thickBot="1" x14ac:dyDescent="0.35">
      <c r="B150" s="70"/>
      <c r="C150" s="79"/>
      <c r="D150" s="84"/>
      <c r="E150" s="57"/>
      <c r="F150" s="117"/>
      <c r="H150" s="49" t="str">
        <f>IF(H146= " ", " ",IF(H148&gt;SUM($H146:$BG146), " N/A", IF(SUM($H148:$BG148)=SUM($H146:BG146), " ", IF(H148=SUM($H146:BG146), " ", "x"))))</f>
        <v>x</v>
      </c>
      <c r="I150" s="50" t="str">
        <f>IF(SUM($H148:I148) &gt; SUM($H146:I146),  " N/A", IF(SUM($H148:$BG148) = SUM($H146:$BH146),    " ",IF(I148 = SUM($H146:$BH146),  " ",   "x")))</f>
        <v>x</v>
      </c>
      <c r="J150" s="50" t="str">
        <f>IF(SUM($H148:J148) &gt; SUM($H146:J146),  " N/A", IF(SUM($H148:$BG148) = SUM($H146:$BH146),    " ",IF(J148 = SUM($H146:$BH146),  " ",   "x")))</f>
        <v>x</v>
      </c>
      <c r="K150" s="50" t="str">
        <f>IF(SUM($H148:K148) &gt; SUM($H146:K146),  " N/A", IF(SUM($H148:$BG148) = SUM($H146:$BH146),    " ",IF(K148 = SUM($H146:$BH146),  " ",   "x")))</f>
        <v>x</v>
      </c>
      <c r="L150" s="44" t="str">
        <f ca="1">IF(SUM($H148:L148) &gt; SUM($H146:L146),  " N/A", IF(SUM($H148:$BG148) = SUM($H119:$BH119),    " ",IF(L148 = SUM($H119:$BH119),  " ",   "x")))</f>
        <v xml:space="preserve"> </v>
      </c>
      <c r="M150" s="44" t="str">
        <f ca="1">IF(SUM($H148:M148) &gt; SUM($H146:M146),  " N/A", IF(SUM($H148:$BG148) = SUM($H119:$BH119),    " ",IF(M148 = SUM($H119:$BH119),  " ",   "x")))</f>
        <v xml:space="preserve"> </v>
      </c>
      <c r="N150" s="44" t="str">
        <f ca="1">IF(SUM($H148:N148) &gt; SUM($H146:N146),  " N/A", IF(SUM($H148:$BG148) = SUM($H119:$BH119),    " ",IF(N148 = SUM($H119:$BH119),  " ",   "x")))</f>
        <v xml:space="preserve"> </v>
      </c>
      <c r="O150" s="44" t="str">
        <f ca="1">IF(SUM($H148:O148) &gt; SUM($H146:O146),  " N/A", IF(SUM($H148:$BG148) = SUM($H119:$BH119),    " ",IF(O148 = SUM($H119:$BH119),  " ",   "x")))</f>
        <v xml:space="preserve"> </v>
      </c>
      <c r="P150" s="44" t="str">
        <f ca="1">IF(SUM($H148:P148) &gt; SUM($H146:P146),  " N/A", IF(SUM($H148:$BG148) = SUM($H119:$BH119),    " ",IF(P148 = SUM($H119:$BH119),  " ",   "x")))</f>
        <v xml:space="preserve"> </v>
      </c>
      <c r="Q150" s="44" t="str">
        <f ca="1">IF(SUM($H148:Q148) &gt; SUM($H146:Q146),  " N/A", IF(SUM($H148:$BG148) = SUM($H119:$BH119),    " ",IF(Q148 = SUM($H119:$BH119),  " ",   "x")))</f>
        <v xml:space="preserve"> </v>
      </c>
      <c r="R150" s="44" t="str">
        <f ca="1">IF(SUM($H148:R148) &gt; SUM($H146:R146),  " N/A", IF(SUM($H148:$BG148) = SUM($H119:$BH119),    " ",IF(R148 = SUM($H119:$BH119),  " ",   "x")))</f>
        <v xml:space="preserve"> </v>
      </c>
      <c r="S150" s="44" t="str">
        <f ca="1">IF(SUM($H148:S148) &gt; SUM($H146:S146),  " N/A", IF(SUM($H148:$BG148) = SUM($H119:$BH119),    " ",IF(S148 = SUM($H119:$BH119),  " ",   "x")))</f>
        <v xml:space="preserve"> </v>
      </c>
      <c r="T150" s="44" t="str">
        <f ca="1">IF(SUM($H148:T148) &gt; SUM($H146:T146),  " N/A", IF(SUM($H148:$BG148) = SUM($H119:$BH119),    " ",IF(T148 = SUM($H119:$BH119),  " ",   "x")))</f>
        <v xml:space="preserve"> </v>
      </c>
      <c r="U150" s="44" t="str">
        <f ca="1">IF(SUM($H148:U148) &gt; SUM($H146:U146),  " N/A", IF(SUM($H148:$BG148) = SUM($H119:$BH119),    " ",IF(U148 = SUM($H119:$BH119),  " ",   "x")))</f>
        <v xml:space="preserve"> </v>
      </c>
      <c r="V150" s="44" t="str">
        <f ca="1">IF(SUM($H148:V148) &gt; SUM($H146:V146),  " N/A", IF(SUM($H148:$BG148) = SUM($H119:$BH119),    " ",IF(V148 = SUM($H119:$BH119),  " ",   "x")))</f>
        <v xml:space="preserve"> </v>
      </c>
      <c r="W150" s="44" t="str">
        <f ca="1">IF(SUM($H148:W148) &gt; SUM($H146:W146),  " N/A", IF(SUM($H148:$BG148) = SUM($H119:$BH119),    " ",IF(W148 = SUM($H119:$BH119),  " ",   "x")))</f>
        <v xml:space="preserve"> </v>
      </c>
      <c r="X150" s="44" t="str">
        <f ca="1">IF(SUM($H148:X148) &gt; SUM($H146:X146),  " N/A", IF(SUM($H148:$BG148) = SUM($H119:$BH119),    " ",IF(X148 = SUM($H119:$BH119),  " ",   "x")))</f>
        <v xml:space="preserve"> </v>
      </c>
      <c r="Y150" s="44" t="str">
        <f ca="1">IF(SUM($H148:Y148) &gt; SUM($H146:Y146),  " N/A", IF(SUM($H148:$BG148) = SUM($H119:$BH119),    " ",IF(Y148 = SUM($H119:$BH119),  " ",   "x")))</f>
        <v xml:space="preserve"> </v>
      </c>
      <c r="Z150" s="44" t="str">
        <f ca="1">IF(SUM($H148:Z148) &gt; SUM($H146:Z146),  " N/A", IF(SUM($H148:$BG148) = SUM($H119:$BH119),    " ",IF(Z148 = SUM($H119:$BH119),  " ",   "x")))</f>
        <v xml:space="preserve"> </v>
      </c>
      <c r="AA150" s="44" t="str">
        <f ca="1">IF(SUM($H148:AA148) &gt; SUM($H146:AA146),  " N/A", IF(SUM($H148:$BG148) = SUM($H119:$BH119),    " ",IF(AA148 = SUM($H119:$BH119),  " ",   "x")))</f>
        <v xml:space="preserve"> </v>
      </c>
      <c r="AB150" s="44" t="str">
        <f ca="1">IF(SUM($H148:AB148) &gt; SUM($H146:AB146),  " N/A", IF(SUM($H148:$BG148) = SUM($H119:$BH119),    " ",IF(AB148 = SUM($H119:$BH119),  " ",   "x")))</f>
        <v xml:space="preserve"> </v>
      </c>
      <c r="AC150" s="44" t="str">
        <f ca="1">IF(SUM($H148:AC148) &gt; SUM($H146:AC146),  " N/A", IF(SUM($H148:$BG148) = SUM($H119:$BH119),    " ",IF(AC148 = SUM($H119:$BH119),  " ",   "x")))</f>
        <v xml:space="preserve"> </v>
      </c>
      <c r="AD150" s="44" t="str">
        <f ca="1">IF(SUM($H148:AD148) &gt; SUM($H146:AD146),  " N/A", IF(SUM($H148:$BG148) = SUM($H119:$BH119),    " ",IF(AD148 = SUM($H119:$BH119),  " ",   "x")))</f>
        <v xml:space="preserve"> </v>
      </c>
      <c r="AE150" s="44" t="str">
        <f ca="1">IF(SUM($H148:AE148) &gt; SUM($H146:AE146),  " N/A", IF(SUM($H148:$BG148) = SUM($H119:$BH119),    " ",IF(AE148 = SUM($H119:$BH119),  " ",   "x")))</f>
        <v xml:space="preserve"> </v>
      </c>
      <c r="AF150" s="44" t="str">
        <f ca="1">IF(SUM($H148:AF148) &gt; SUM($H146:AF146),  " N/A", IF(SUM($H148:$BG148) = SUM($H119:$BH119),    " ",IF(AF148 = SUM($H119:$BH119),  " ",   "x")))</f>
        <v xml:space="preserve"> </v>
      </c>
      <c r="AG150" s="44" t="str">
        <f ca="1">IF(SUM($H148:AG148) &gt; SUM($H146:AG146),  " N/A", IF(SUM($H148:$BG148) = SUM($H119:$BH119),    " ",IF(AG148 = SUM($H119:$BH119),  " ",   "x")))</f>
        <v xml:space="preserve"> </v>
      </c>
      <c r="AH150" s="44" t="str">
        <f ca="1">IF(SUM($H148:AH148) &gt; SUM($H146:AH146),  " N/A", IF(SUM($H148:$BG148) = SUM($H119:$BH119),    " ",IF(AH148 = SUM($H119:$BH119),  " ",   "x")))</f>
        <v xml:space="preserve"> </v>
      </c>
      <c r="AI150" s="44" t="str">
        <f ca="1">IF(SUM($H148:AI148) &gt; SUM($H146:AI146),  " N/A", IF(SUM($H148:$BG148) = SUM($H119:$BH119),    " ",IF(AI148 = SUM($H119:$BH119),  " ",   "x")))</f>
        <v xml:space="preserve"> </v>
      </c>
      <c r="AJ150" s="44" t="str">
        <f ca="1">IF(SUM($H148:AJ148) &gt; SUM($H146:AJ146),  " N/A", IF(SUM($H148:$BG148) = SUM($H119:$BH119),    " ",IF(AJ148 = SUM($H119:$BH119),  " ",   "x")))</f>
        <v xml:space="preserve"> </v>
      </c>
      <c r="AK150" s="44" t="str">
        <f ca="1">IF(SUM($H148:AK148) &gt; SUM($H146:AK146),  " N/A", IF(SUM($H148:$BG148) = SUM($H119:$BH119),    " ",IF(AK148 = SUM($H119:$BH119),  " ",   "x")))</f>
        <v xml:space="preserve"> </v>
      </c>
      <c r="AL150" s="44" t="str">
        <f ca="1">IF(SUM($H148:AL148) &gt; SUM($H146:AL146),  " N/A", IF(SUM($H148:$BG148) = SUM($H119:$BH119),    " ",IF(AL148 = SUM($H119:$BH119),  " ",   "x")))</f>
        <v xml:space="preserve"> </v>
      </c>
      <c r="AM150" s="44" t="str">
        <f ca="1">IF(SUM($H148:AM148) &gt; SUM($H146:AM146),  " N/A", IF(SUM($H148:$BG148) = SUM($H119:$BH119),    " ",IF(AM148 = SUM($H119:$BH119),  " ",   "x")))</f>
        <v xml:space="preserve"> </v>
      </c>
      <c r="AN150" s="44" t="str">
        <f ca="1">IF(SUM($H148:AN148) &gt; SUM($H146:AN146),  " N/A", IF(SUM($H148:$BG148) = SUM($H119:$BH119),    " ",IF(AN148 = SUM($H119:$BH119),  " ",   "x")))</f>
        <v xml:space="preserve"> </v>
      </c>
      <c r="AO150" s="44" t="str">
        <f ca="1">IF(SUM($H148:AO148) &gt; SUM($H146:AO146),  " N/A", IF(SUM($H148:$BG148) = SUM($H119:$BH119),    " ",IF(AO148 = SUM($H119:$BH119),  " ",   "x")))</f>
        <v xml:space="preserve"> </v>
      </c>
      <c r="AP150" s="44" t="str">
        <f ca="1">IF(SUM($H148:AP148) &gt; SUM($H146:AP146),  " N/A", IF(SUM($H148:$BG148) = SUM($H119:$BH119),    " ",IF(AP148 = SUM($H119:$BH119),  " ",   "x")))</f>
        <v xml:space="preserve"> </v>
      </c>
      <c r="AQ150" s="44" t="str">
        <f ca="1">IF(SUM($H148:AQ148) &gt; SUM($H146:AQ146),  " N/A", IF(SUM($H148:$BG148) = SUM($H119:$BH119),    " ",IF(AQ148 = SUM($H119:$BH119),  " ",   "x")))</f>
        <v xml:space="preserve"> </v>
      </c>
      <c r="AR150" s="44" t="str">
        <f ca="1">IF(SUM($H148:AR148) &gt; SUM($H146:AR146),  " N/A", IF(SUM($H148:$BG148) = SUM($H119:$BH119),    " ",IF(AR148 = SUM($H119:$BH119),  " ",   "x")))</f>
        <v xml:space="preserve"> </v>
      </c>
      <c r="AS150" s="44" t="str">
        <f ca="1">IF(SUM($H148:AS148) &gt; SUM($H146:AS146),  " N/A", IF(SUM($H148:$BG148) = SUM($H119:$BH119),    " ",IF(AS148 = SUM($H119:$BH119),  " ",   "x")))</f>
        <v xml:space="preserve"> </v>
      </c>
      <c r="AT150" s="44" t="str">
        <f ca="1">IF(SUM($H148:AT148) &gt; SUM($H146:AT146),  " N/A", IF(SUM($H148:$BG148) = SUM($H119:$BH119),    " ",IF(AT148 = SUM($H119:$BH119),  " ",   "x")))</f>
        <v xml:space="preserve"> </v>
      </c>
      <c r="AU150" s="44" t="str">
        <f ca="1">IF(SUM($H148:AU148) &gt; SUM($H146:AU146),  " N/A", IF(SUM($H148:$BG148) = SUM($H119:$BH119),    " ",IF(AU148 = SUM($H119:$BH119),  " ",   "x")))</f>
        <v xml:space="preserve"> </v>
      </c>
      <c r="AV150" s="44" t="str">
        <f ca="1">IF(SUM($H148:AV148) &gt; SUM($H146:AV146),  " N/A", IF(SUM($H148:$BG148) = SUM($H119:$BH119),    " ",IF(AV148 = SUM($H119:$BH119),  " ",   "x")))</f>
        <v xml:space="preserve"> </v>
      </c>
      <c r="AW150" s="44" t="str">
        <f ca="1">IF(SUM($H148:AW148) &gt; SUM($H146:AW146),  " N/A", IF(SUM($H148:$BG148) = SUM($H119:$BH119),    " ",IF(AW148 = SUM($H119:$BH119),  " ",   "x")))</f>
        <v xml:space="preserve"> </v>
      </c>
      <c r="AX150" s="44" t="str">
        <f ca="1">IF(SUM($H148:AX148) &gt; SUM($H146:AX146),  " N/A", IF(SUM($H148:$BG148) = SUM($H119:$BH119),    " ",IF(AX148 = SUM($H119:$BH119),  " ",   "x")))</f>
        <v xml:space="preserve"> </v>
      </c>
      <c r="AY150" s="44" t="str">
        <f ca="1">IF(SUM($H148:AY148) &gt; SUM($H146:AY146),  " N/A", IF(SUM($H148:$BG148) = SUM($H119:$BH119),    " ",IF(AY148 = SUM($H119:$BH119),  " ",   "x")))</f>
        <v xml:space="preserve"> </v>
      </c>
      <c r="AZ150" s="44" t="str">
        <f ca="1">IF(SUM($H148:AZ148) &gt; SUM($H146:AZ146),  " N/A", IF(SUM($H148:$BG148) = SUM($H119:$BH119),    " ",IF(AZ148 = SUM($H119:$BH119),  " ",   "x")))</f>
        <v xml:space="preserve"> </v>
      </c>
      <c r="BA150" s="44" t="str">
        <f ca="1">IF(SUM($H148:BA148) &gt; SUM($H146:BA146),  " N/A", IF(SUM($H148:$BG148) = SUM($H119:$BH119),    " ",IF(BA148 = SUM($H119:$BH119),  " ",   "x")))</f>
        <v xml:space="preserve"> </v>
      </c>
      <c r="BB150" s="44" t="str">
        <f ca="1">IF(SUM($H148:BB148) &gt; SUM($H146:BB146),  " N/A", IF(SUM($H148:$BG148) = SUM($H119:$BH119),    " ",IF(BB148 = SUM($H119:$BH119),  " ",   "x")))</f>
        <v xml:space="preserve"> </v>
      </c>
      <c r="BC150" s="44" t="str">
        <f ca="1">IF(SUM($H148:BC148) &gt; SUM($H146:BC146),  " N/A", IF(SUM($H148:$BG148) = SUM($H119:$BH119),    " ",IF(BC148 = SUM($H119:$BH119),  " ",   "x")))</f>
        <v xml:space="preserve"> </v>
      </c>
      <c r="BD150" s="44" t="str">
        <f ca="1">IF(SUM($H148:BD148) &gt; SUM($H146:BD146),  " N/A", IF(SUM($H148:$BG148) = SUM($H119:$BH119),    " ",IF(BD148 = SUM($H119:$BH119),  " ",   "x")))</f>
        <v xml:space="preserve"> </v>
      </c>
      <c r="BE150" s="44" t="str">
        <f ca="1">IF(SUM($H148:BE148) &gt; SUM($H146:BE146),  " N/A", IF(SUM($H148:$BG148) = SUM($H119:$BH119),    " ",IF(BE148 = SUM($H119:$BH119),  " ",   "x")))</f>
        <v xml:space="preserve"> </v>
      </c>
      <c r="BF150" s="44" t="str">
        <f ca="1">IF(SUM($H148:BF148) &gt; SUM($H146:BF146),  " N/A", IF(SUM($H148:$BG148) = SUM($H119:$BH119),    " ",IF(BF148 = SUM($H119:$BH119),  " ",   "x")))</f>
        <v xml:space="preserve"> </v>
      </c>
      <c r="BG150" s="44" t="str">
        <f ca="1">IF(SUM($H148:BG148) &gt; SUM($H146:BG146),  " N/A", IF(SUM($H148:$BG148) = SUM($H119:$BH119),    " ",IF(BG148 = SUM($H119:$BH119),  " ",   "x")))</f>
        <v xml:space="preserve"> </v>
      </c>
      <c r="BH150" s="21"/>
    </row>
    <row r="151" spans="2:60" ht="15.6" x14ac:dyDescent="0.3">
      <c r="B151" s="71"/>
      <c r="C151" s="77"/>
      <c r="D151" s="82" t="s">
        <v>249</v>
      </c>
      <c r="E151" s="54">
        <f>SUM(H151:BG151)</f>
        <v>41</v>
      </c>
      <c r="F151" s="115">
        <f>Gant_24!$E151-E153</f>
        <v>41</v>
      </c>
      <c r="H151" s="41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>
        <v>41</v>
      </c>
      <c r="AE151" s="51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42"/>
      <c r="BB151" s="42"/>
      <c r="BC151" s="42"/>
      <c r="BD151" s="42"/>
      <c r="BE151" s="42"/>
      <c r="BF151" s="42"/>
      <c r="BG151" s="42"/>
      <c r="BH151" s="21"/>
    </row>
    <row r="152" spans="2:60" ht="15.6" x14ac:dyDescent="0.3">
      <c r="B152" s="68"/>
      <c r="C152" s="78"/>
      <c r="D152" s="83" t="s">
        <v>261</v>
      </c>
      <c r="E152" s="55">
        <f>SUM(H152:BG152)</f>
        <v>0</v>
      </c>
      <c r="F152" s="116"/>
      <c r="H152" s="43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50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  <c r="AX152" s="44"/>
      <c r="AY152" s="44"/>
      <c r="AZ152" s="44"/>
      <c r="BA152" s="44"/>
      <c r="BB152" s="44"/>
      <c r="BC152" s="44"/>
      <c r="BD152" s="44"/>
      <c r="BE152" s="44"/>
      <c r="BF152" s="44"/>
      <c r="BG152" s="44"/>
      <c r="BH152" s="21"/>
    </row>
    <row r="153" spans="2:60" ht="15.6" x14ac:dyDescent="0.3">
      <c r="B153" s="68" t="s">
        <v>139</v>
      </c>
      <c r="C153" s="78" t="s">
        <v>140</v>
      </c>
      <c r="D153" s="83" t="s">
        <v>241</v>
      </c>
      <c r="E153" s="55">
        <f>SUM(H153:BG153)</f>
        <v>0</v>
      </c>
      <c r="F153" s="116"/>
      <c r="H153" s="45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  <c r="AO153" s="46"/>
      <c r="AP153" s="46"/>
      <c r="AQ153" s="46"/>
      <c r="AR153" s="46"/>
      <c r="AS153" s="46"/>
      <c r="AT153" s="46"/>
      <c r="AU153" s="46"/>
      <c r="AV153" s="46"/>
      <c r="AW153" s="46"/>
      <c r="AX153" s="46"/>
      <c r="AY153" s="46"/>
      <c r="AZ153" s="46"/>
      <c r="BA153" s="46"/>
      <c r="BB153" s="46"/>
      <c r="BC153" s="46"/>
      <c r="BD153" s="46"/>
      <c r="BE153" s="46"/>
      <c r="BF153" s="46"/>
      <c r="BG153" s="46"/>
      <c r="BH153" s="21"/>
    </row>
    <row r="154" spans="2:60" ht="15.6" x14ac:dyDescent="0.3">
      <c r="B154" s="68"/>
      <c r="C154" s="78"/>
      <c r="D154" s="83" t="s">
        <v>278</v>
      </c>
      <c r="E154" s="56">
        <f ca="1">MAX(H154:BG154)</f>
        <v>0</v>
      </c>
      <c r="F154" s="116"/>
      <c r="H154" s="47"/>
      <c r="I154" s="48"/>
      <c r="J154" s="48"/>
      <c r="K154" s="48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  <c r="AA154" s="44"/>
      <c r="AB154" s="44"/>
      <c r="AC154" s="44"/>
      <c r="AD154" s="44" t="str">
        <f>IF(SUM(H151:BG151) = AD153, " 0 ", " ")</f>
        <v xml:space="preserve"> </v>
      </c>
      <c r="AE154" s="44" t="str">
        <f ca="1">IF(AE9&gt;WEEKNUM(TODAY())," ", IF(AND(AE10="x",SUM($AD153:AE153)&gt;$AD151),H9-(SUM($AD153:AE153)/SUM($AD151:$BG151)),IF(SUM($AD153:AE153)&gt;=$AD151," ",H9-(SUM($AD153:AE153)/(SUM($AD151:$BG151))))))</f>
        <v xml:space="preserve"> </v>
      </c>
      <c r="AF154" s="44" t="str">
        <f ca="1">IF(AF9&gt;WEEKNUM(TODAY())," ", IF(AND(AF10="x",SUM($AD153:AF153)&gt;$AD151),I9-(SUM($AD153:AF153)/SUM($AD151:$BG151)),IF(SUM($AD153:AF153)&gt;=$AD151," ",I9-(SUM($AD153:AF153)/(SUM($AD151:$BG151))))))</f>
        <v xml:space="preserve"> </v>
      </c>
      <c r="AG154" s="44" t="str">
        <f ca="1">IF(AG9&gt;WEEKNUM(TODAY())," ", IF(AND(AG10="x",SUM($AD153:AG153)&gt;$AD151),J9-(SUM($AD153:AG153)/SUM($AD151:$BG151)),IF(SUM($AD153:AG153)&gt;=$AD151," ",J9-(SUM($AD153:AG153)/(SUM($AD151:$BG151))))))</f>
        <v xml:space="preserve"> </v>
      </c>
      <c r="AH154" s="44" t="str">
        <f ca="1">IF(AH9&gt;WEEKNUM(TODAY())," ", IF(AND(AH10="x",SUM($AD153:AH153)&gt;$AD151),K9-(SUM($AD153:AH153)/SUM($AD151:$BG151)),IF(SUM($AD153:AH153)&gt;=$AD151," ",K9-(SUM($AD153:AH153)/(SUM($AD151:$BG151))))))</f>
        <v xml:space="preserve"> </v>
      </c>
      <c r="AI154" s="44" t="str">
        <f ca="1">IF(AI9&gt;WEEKNUM(TODAY())," ", IF(AND(AI10="x",SUM($AD153:AI153)&gt;$AD151),L9-(SUM($AD153:AI153)/SUM($AD151:$BG151)),IF(SUM($AD153:AI153)&gt;=$AD151," ",L9-(SUM($AD153:AI153)/(SUM($AD151:$BG151))))))</f>
        <v xml:space="preserve"> </v>
      </c>
      <c r="AJ154" s="44" t="str">
        <f ca="1">IF(AJ9&gt;WEEKNUM(TODAY())," ", IF(AND(AJ10="x",SUM($AD153:AJ153)&gt;$AD151),M9-(SUM($AD153:AJ153)/SUM($AD151:$BG151)),IF(SUM($AD153:AJ153)&gt;=$AD151," ",M9-(SUM($AD153:AJ153)/(SUM($AD151:$BG151))))))</f>
        <v xml:space="preserve"> </v>
      </c>
      <c r="AK154" s="44" t="str">
        <f ca="1">IF(AK9&gt;WEEKNUM(TODAY())," ", IF(AND(AK10="x",SUM($AD153:AK153)&gt;$AD151),N9-(SUM($AD153:AK153)/SUM($AD151:$BG151)),IF(SUM($AD153:AK153)&gt;=$AD151," ",N9-(SUM($AD153:AK153)/(SUM($AD151:$BG151))))))</f>
        <v xml:space="preserve"> </v>
      </c>
      <c r="AL154" s="44" t="str">
        <f ca="1">IF(AL9&gt;WEEKNUM(TODAY())," ", IF(AND(AL10="x",SUM($AD153:AL153)&gt;$AD151),O9-(SUM($AD153:AL153)/SUM($AD151:$BG151)),IF(SUM($AD153:AL153)&gt;=$AD151," ",O9-(SUM($AD153:AL153)/(SUM($AD151:$BG151))))))</f>
        <v xml:space="preserve"> </v>
      </c>
      <c r="AM154" s="44" t="str">
        <f ca="1">IF(AM9&gt;WEEKNUM(TODAY())," ", IF(AND(AM10="x",SUM($AD153:AM153)&gt;$AD151),P9-(SUM($AD153:AM153)/SUM($AD151:$BG151)),IF(SUM($AD153:AM153)&gt;=$AD151," ",P9-(SUM($AD153:AM153)/(SUM($AD151:$BG151))))))</f>
        <v xml:space="preserve"> </v>
      </c>
      <c r="AN154" s="44" t="str">
        <f ca="1">IF(AN9&gt;WEEKNUM(TODAY())," ", IF(AND(AN10="x",SUM($AD153:AN153)&gt;$AD151),Q9-(SUM($AD153:AN153)/SUM($AD151:$BG151)),IF(SUM($AD153:AN153)&gt;=$AD151," ",Q9-(SUM($AD153:AN153)/(SUM($AD151:$BG151))))))</f>
        <v xml:space="preserve"> </v>
      </c>
      <c r="AO154" s="44" t="str">
        <f ca="1">IF(AO9&gt;WEEKNUM(TODAY())," ", IF(AND(AO10="x",SUM($AD153:AO153)&gt;$AD151),R9-(SUM($AD153:AO153)/SUM($AD151:$BG151)),IF(SUM($AD153:AO153)&gt;=$AD151," ",R9-(SUM($AD153:AO153)/(SUM($AD151:$BG151))))))</f>
        <v xml:space="preserve"> </v>
      </c>
      <c r="AP154" s="44" t="str">
        <f ca="1">IF(AP9&gt;WEEKNUM(TODAY())," ", IF(AND(AP10="x",SUM($AD153:AP153)&gt;$AD151),S9-(SUM($AD153:AP153)/SUM($AD151:$BG151)),IF(SUM($AD153:AP153)&gt;=$AD151," ",S9-(SUM($AD153:AP153)/(SUM($AD151:$BG151))))))</f>
        <v xml:space="preserve"> </v>
      </c>
      <c r="AQ154" s="44" t="str">
        <f ca="1">IF(AQ9&gt;WEEKNUM(TODAY())," ", IF(AND(AQ10="x",SUM($AD153:AQ153)&gt;$AD151),T9-(SUM($AD153:AQ153)/SUM($AD151:$BG151)),IF(SUM($AD153:AQ153)&gt;=$AD151," ",T9-(SUM($AD153:AQ153)/(SUM($AD151:$BG151))))))</f>
        <v xml:space="preserve"> </v>
      </c>
      <c r="AR154" s="44" t="str">
        <f ca="1">IF(AR9&gt;WEEKNUM(TODAY())," ", IF(AND(AR10="x",SUM($AD153:AR153)&gt;$AD151),U9-(SUM($AD153:AR153)/SUM($AD151:$BG151)),IF(SUM($AD153:AR153)&gt;=$AD151," ",U9-(SUM($AD153:AR153)/(SUM($AD151:$BG151))))))</f>
        <v xml:space="preserve"> </v>
      </c>
      <c r="AS154" s="44" t="str">
        <f ca="1">IF(AS9&gt;WEEKNUM(TODAY())," ", IF(AND(AS10="x",SUM($AD153:AS153)&gt;$AD151),V9-(SUM($AD153:AS153)/SUM($AD151:$BG151)),IF(SUM($AD153:AS153)&gt;=$AD151," ",V9-(SUM($AD153:AS153)/(SUM($AD151:$BG151))))))</f>
        <v xml:space="preserve"> </v>
      </c>
      <c r="AT154" s="44" t="str">
        <f ca="1">IF(AT9&gt;WEEKNUM(TODAY())," ", IF(AND(AT10="x",SUM($AD153:AT153)&gt;$AD151),W9-(SUM($AD153:AT153)/SUM($AD151:$BG151)),IF(SUM($AD153:AT153)&gt;=$AD151," ",W9-(SUM($AD153:AT153)/(SUM($AD151:$BG151))))))</f>
        <v xml:space="preserve"> </v>
      </c>
      <c r="AU154" s="44" t="str">
        <f ca="1">IF(AU9&gt;WEEKNUM(TODAY())," ", IF(AND(AU10="x",SUM($AD153:AU153)&gt;$AD151),X9-(SUM($AD153:AU153)/SUM($AD151:$BG151)),IF(SUM($AD153:AU153)&gt;=$AD151," ",X9-(SUM($AD153:AU153)/(SUM($AD151:$BG151))))))</f>
        <v xml:space="preserve"> </v>
      </c>
      <c r="AV154" s="44" t="str">
        <f ca="1">IF(AV9&gt;WEEKNUM(TODAY())," ", IF(AND(AV10="x",SUM($AD153:AV153)&gt;$AD151),Y9-(SUM($AD153:AV153)/SUM($AD151:$BG151)),IF(SUM($AD153:AV153)&gt;=$AD151," ",Y9-(SUM($AD153:AV153)/(SUM($AD151:$BG151))))))</f>
        <v xml:space="preserve"> </v>
      </c>
      <c r="AW154" s="44" t="str">
        <f ca="1">IF(AW9&gt;WEEKNUM(TODAY())," ", IF(AND(AW10="x",SUM($AD153:AW153)&gt;$AD151),Z9-(SUM($AD153:AW153)/SUM($AD151:$BG151)),IF(SUM($AD153:AW153)&gt;=$AD151," ",Z9-(SUM($AD153:AW153)/(SUM($AD151:$BG151))))))</f>
        <v xml:space="preserve"> </v>
      </c>
      <c r="AX154" s="44" t="str">
        <f ca="1">IF(AX9&gt;WEEKNUM(TODAY())," ", IF(AND(AX10="x",SUM($AD153:AX153)&gt;$AD151),AA9-(SUM($AD153:AX153)/SUM($AD151:$BG151)),IF(SUM($AD153:AX153)&gt;=$AD151," ",AA9-(SUM($AD153:AX153)/(SUM($AD151:$BG151))))))</f>
        <v xml:space="preserve"> </v>
      </c>
      <c r="AY154" s="44" t="str">
        <f ca="1">IF(AY9&gt;WEEKNUM(TODAY())," ", IF(AND(AY10="x",SUM($AD153:AY153)&gt;$AD151),AB9-(SUM($AD153:AY153)/SUM($AD151:$BG151)),IF(SUM($AD153:AY153)&gt;=$AD151," ",AB9-(SUM($AD153:AY153)/(SUM($AD151:$BG151))))))</f>
        <v xml:space="preserve"> </v>
      </c>
      <c r="AZ154" s="44" t="str">
        <f ca="1">IF(AZ9&gt;WEEKNUM(TODAY())," ", IF(AND(AZ10="x",SUM($AD153:AZ153)&gt;$AD151),AC9-(SUM($AD153:AZ153)/SUM($AD151:$BG151)),IF(SUM($AD153:AZ153)&gt;=$AD151," ",AC9-(SUM($AD153:AZ153)/(SUM($AD151:$BG151))))))</f>
        <v xml:space="preserve"> </v>
      </c>
      <c r="BA154" s="44" t="str">
        <f ca="1">IF(BA9&gt;WEEKNUM(TODAY())," ", IF(AND(BA10="x",SUM($AD153:BA153)&gt;$AD151),AD9-(SUM($AD153:BA153)/SUM($AD151:$BG151)),IF(SUM($AD153:BA153)&gt;=$AD151," ",AD9-(SUM($AD153:BA153)/(SUM($AD151:$BG151))))))</f>
        <v xml:space="preserve"> </v>
      </c>
      <c r="BB154" s="44" t="str">
        <f ca="1">IF(BB9&gt;WEEKNUM(TODAY())," ", IF(AND(BB10="x",SUM($AD153:BB153)&gt;$AD151),AE9-(SUM($AD153:BB153)/SUM($AD151:$BG151)),IF(SUM($AD153:BB153)&gt;=$AD151," ",AE9-(SUM($AD153:BB153)/(SUM($AD151:$BG151))))))</f>
        <v xml:space="preserve"> </v>
      </c>
      <c r="BC154" s="44" t="str">
        <f ca="1">IF(BC9&gt;WEEKNUM(TODAY())," ", IF(AND(BC10="x",SUM($AD153:BC153)&gt;$AD151),AF9-(SUM($AD153:BC153)/SUM($AD151:$BG151)),IF(SUM($AD153:BC153)&gt;=$AD151," ",AF9-(SUM($AD153:BC153)/(SUM($AD151:$BG151))))))</f>
        <v xml:space="preserve"> </v>
      </c>
      <c r="BD154" s="44" t="str">
        <f ca="1">IF(BD9&gt;WEEKNUM(TODAY())," ", IF(AND(BD10="x",SUM($AD153:BD153)&gt;$AD151),AG9-(SUM($AD153:BD153)/SUM($AD151:$BG151)),IF(SUM($AD153:BD153)&gt;=$AD151," ",AG9-(SUM($AD153:BD153)/(SUM($AD151:$BG151))))))</f>
        <v xml:space="preserve"> </v>
      </c>
      <c r="BE154" s="44" t="str">
        <f ca="1">IF(BE9&gt;WEEKNUM(TODAY())," ", IF(AND(BE10="x",SUM($AD153:BE153)&gt;$AD151),AH9-(SUM($AD153:BE153)/SUM($AD151:$BG151)),IF(SUM($AD153:BE153)&gt;=$AD151," ",AH9-(SUM($AD153:BE153)/(SUM($AD151:$BG151))))))</f>
        <v xml:space="preserve"> </v>
      </c>
      <c r="BF154" s="44" t="str">
        <f ca="1">IF(BF9&gt;WEEKNUM(TODAY())," ", IF(AND(BF10="x",SUM($AD153:BF153)&gt;$AD151),AI9-(SUM($AD153:BF153)/SUM($AD151:$BG151)),IF(SUM($AD153:BF153)&gt;=$AD151," ",AI9-(SUM($AD153:BF153)/(SUM($AD151:$BG151))))))</f>
        <v xml:space="preserve"> </v>
      </c>
      <c r="BG154" s="44" t="str">
        <f ca="1">IF(BG9&gt;WEEKNUM(TODAY())," ", IF(AND(BG10="x",SUM($AD153:BG153)&gt;$AD151),AJ9-(SUM($AD153:BG153)/SUM($AD151:$BG151)),IF(SUM($AD153:BG153)&gt;=$AD151," ",AJ9-(SUM($AD153:BG153)/(SUM($AD151:$BG151))))))</f>
        <v xml:space="preserve"> </v>
      </c>
      <c r="BH154" s="21"/>
    </row>
    <row r="155" spans="2:60" ht="16.2" thickBot="1" x14ac:dyDescent="0.35">
      <c r="B155" s="70"/>
      <c r="C155" s="79"/>
      <c r="D155" s="84"/>
      <c r="E155" s="57"/>
      <c r="F155" s="117"/>
      <c r="H155" s="49" t="str">
        <f>IF(H151= " ", " ",IF(H153&gt;SUM($H151:$BG151), " N/A", IF(SUM($H153:$BG153)=SUM($H151:BG151), " ", IF(H153=SUM($H151:BG151), " ", "x"))))</f>
        <v>x</v>
      </c>
      <c r="I155" s="50" t="str">
        <f>IF(SUM($H153:I153) &gt; SUM($H151:I151),  " N/A", IF(SUM($H153:$BG153) = SUM($H151:$BH151),    " ",IF(I153 = SUM($H151:$BH151),  " ",   "x")))</f>
        <v>x</v>
      </c>
      <c r="J155" s="50" t="str">
        <f>IF(SUM($H153:J153) &gt; SUM($H151:J151),  " N/A", IF(SUM($H153:$BG153) = SUM($H151:$BH151),    " ",IF(J153 = SUM($H151:$BH151),  " ",   "x")))</f>
        <v>x</v>
      </c>
      <c r="K155" s="50" t="str">
        <f>IF(SUM($H153:K153) &gt; SUM($H151:K151),  " N/A", IF(SUM($H153:$BG153) = SUM($H151:$BH151),    " ",IF(K153 = SUM($H151:$BH151),  " ",   "x")))</f>
        <v>x</v>
      </c>
      <c r="L155" s="50" t="str">
        <f>IF(SUM($H153:L153) &gt; SUM($H151:L151),  " N/A", IF(SUM($H153:$BG153) = SUM($H151:$BH151),    " ",IF(L153 = SUM($H151:$BH151),  " ",   "x")))</f>
        <v>x</v>
      </c>
      <c r="M155" s="50" t="str">
        <f>IF(SUM($H153:M153) &gt; SUM($H151:M151),  " N/A", IF(SUM($H153:$BG153) = SUM($H151:$BH151),    " ",IF(M153 = SUM($H151:$BH151),  " ",   "x")))</f>
        <v>x</v>
      </c>
      <c r="N155" s="50" t="str">
        <f>IF(SUM($H153:N153) &gt; SUM($H151:N151),  " N/A", IF(SUM($H153:$BG153) = SUM($H151:$BH151),    " ",IF(N153 = SUM($H151:$BH151),  " ",   "x")))</f>
        <v>x</v>
      </c>
      <c r="O155" s="50" t="str">
        <f>IF(SUM($H153:O153) &gt; SUM($H151:O151),  " N/A", IF(SUM($H153:$BG153) = SUM($H151:$BH151),    " ",IF(O153 = SUM($H151:$BH151),  " ",   "x")))</f>
        <v>x</v>
      </c>
      <c r="P155" s="50" t="str">
        <f>IF(SUM($H153:P153) &gt; SUM($H151:P151),  " N/A", IF(SUM($H153:$BG153) = SUM($H151:$BH151),    " ",IF(P153 = SUM($H151:$BH151),  " ",   "x")))</f>
        <v>x</v>
      </c>
      <c r="Q155" s="50" t="str">
        <f>IF(SUM($H153:Q153) &gt; SUM($H151:Q151),  " N/A", IF(SUM($H153:$BG153) = SUM($H151:$BH151),    " ",IF(Q153 = SUM($H151:$BH151),  " ",   "x")))</f>
        <v>x</v>
      </c>
      <c r="R155" s="50" t="str">
        <f>IF(SUM($H153:R153) &gt; SUM($H151:R151),  " N/A", IF(SUM($H153:$BG153) = SUM($H151:$BH151),    " ",IF(R153 = SUM($H151:$BH151),  " ",   "x")))</f>
        <v>x</v>
      </c>
      <c r="S155" s="50" t="str">
        <f>IF(SUM($H153:S153) &gt; SUM($H151:S151),  " N/A", IF(SUM($H153:$BG153) = SUM($H151:$BH151),    " ",IF(S153 = SUM($H151:$BH151),  " ",   "x")))</f>
        <v>x</v>
      </c>
      <c r="T155" s="50" t="str">
        <f>IF(SUM($H153:T153) &gt; SUM($H151:T151),  " N/A", IF(SUM($H153:$BG153) = SUM($H151:$BH151),    " ",IF(T153 = SUM($H151:$BH151),  " ",   "x")))</f>
        <v>x</v>
      </c>
      <c r="U155" s="50" t="str">
        <f>IF(SUM($H153:U153) &gt; SUM($H151:U151),  " N/A", IF(SUM($H153:$BG153) = SUM($H151:$BH151),    " ",IF(U153 = SUM($H151:$BH151),  " ",   "x")))</f>
        <v>x</v>
      </c>
      <c r="V155" s="50" t="str">
        <f>IF(SUM($H153:V153) &gt; SUM($H151:V151),  " N/A", IF(SUM($H153:$BG153) = SUM($H151:$BH151),    " ",IF(V153 = SUM($H151:$BH151),  " ",   "x")))</f>
        <v>x</v>
      </c>
      <c r="W155" s="50" t="str">
        <f>IF(SUM($H153:W153) &gt; SUM($H151:W151),  " N/A", IF(SUM($H153:$BG153) = SUM($H151:$BH151),    " ",IF(W153 = SUM($H151:$BH151),  " ",   "x")))</f>
        <v>x</v>
      </c>
      <c r="X155" s="50" t="str">
        <f>IF(SUM($H153:X153) &gt; SUM($H151:X151),  " N/A", IF(SUM($H153:$BG153) = SUM($H151:$BH151),    " ",IF(X153 = SUM($H151:$BH151),  " ",   "x")))</f>
        <v>x</v>
      </c>
      <c r="Y155" s="50" t="str">
        <f>IF(SUM($H153:Y153) &gt; SUM($H151:Y151),  " N/A", IF(SUM($H153:$BG153) = SUM($H151:$BH151),    " ",IF(Y153 = SUM($H151:$BH151),  " ",   "x")))</f>
        <v>x</v>
      </c>
      <c r="Z155" s="50" t="str">
        <f>IF(SUM($H153:Z153) &gt; SUM($H151:Z151),  " N/A", IF(SUM($H153:$BG153) = SUM($H151:$BH151),    " ",IF(Z153 = SUM($H151:$BH151),  " ",   "x")))</f>
        <v>x</v>
      </c>
      <c r="AA155" s="50" t="str">
        <f>IF(SUM($H153:AA153) &gt; SUM($H151:AA151),  " N/A", IF(SUM($H153:$BG153) = SUM($H151:$BH151),    " ",IF(AA153 = SUM($H151:$BH151),  " ",   "x")))</f>
        <v>x</v>
      </c>
      <c r="AB155" s="50" t="str">
        <f>IF(SUM($H153:AB153) &gt; SUM($H151:AB151),  " N/A", IF(SUM($H153:$BG153) = SUM($H151:$BH151),    " ",IF(AB153 = SUM($H151:$BH151),  " ",   "x")))</f>
        <v>x</v>
      </c>
      <c r="AC155" s="50" t="str">
        <f>IF(SUM($H153:AC153) &gt; SUM($H151:AC151),  " N/A", IF(SUM($H153:$BG153) = SUM($H151:$BH151),    " ",IF(AC153 = SUM($H151:$BH151),  " ",   "x")))</f>
        <v>x</v>
      </c>
      <c r="AD155" s="50" t="str">
        <f>IF(SUM($H153:AD153) &gt; SUM($H151:AD151),  " N/A", IF(SUM($H153:$BG153) = SUM($H151:$BH151),    " ",IF(AD153 = SUM($H151:$BH151),  " ",   "x")))</f>
        <v>x</v>
      </c>
      <c r="AE155" s="50" t="str">
        <f>IF(SUM($H153:AE153) &gt; SUM($H151:AE151),  " N/A", IF(SUM($H153:$BG153) = SUM($H151:$BH151),    " ",IF(AE153 = SUM($H151:$BH151),  " ",   "x")))</f>
        <v>x</v>
      </c>
      <c r="AF155" s="50" t="str">
        <f>IF(SUM($H153:AF153) &gt; SUM($H151:AF151),  " N/A", IF(SUM($H153:$BG153) = SUM($H151:$BH151),    " ",IF(AF153 = SUM($H151:$BH151),  " ",   "x")))</f>
        <v>x</v>
      </c>
      <c r="AG155" s="50" t="str">
        <f>IF(SUM($H153:AG153) &gt; SUM($H151:AG151),  " N/A", IF(SUM($H153:$BG153) = SUM($H151:$BH151),    " ",IF(AG153 = SUM($H151:$BH151),  " ",   "x")))</f>
        <v>x</v>
      </c>
      <c r="AH155" s="50" t="str">
        <f>IF(SUM($H153:AH153) &gt; SUM($H151:AH151),  " N/A", IF(SUM($H153:$BG153) = SUM($H151:$BH151),    " ",IF(AH153 = SUM($H151:$BH151),  " ",   "x")))</f>
        <v>x</v>
      </c>
      <c r="AI155" s="50" t="str">
        <f>IF(SUM($H153:AI153) &gt; SUM($H151:AI151),  " N/A", IF(SUM($H153:$BG153) = SUM($H151:$BH151),    " ",IF(AI153 = SUM($H151:$BH151),  " ",   "x")))</f>
        <v>x</v>
      </c>
      <c r="AJ155" s="50" t="str">
        <f>IF(SUM($H153:AJ153) &gt; SUM($H151:AJ151),  " N/A", IF(SUM($H153:$BG153) = SUM($H151:$BH151),    " ",IF(AJ153 = SUM($H151:$BH151),  " ",   "x")))</f>
        <v>x</v>
      </c>
      <c r="AK155" s="50" t="str">
        <f>IF(SUM($H153:AK153) &gt; SUM($H151:AK151),  " N/A", IF(SUM($H153:$BG153) = SUM($H151:$BH151),    " ",IF(AK153 = SUM($H151:$BH151),  " ",   "x")))</f>
        <v>x</v>
      </c>
      <c r="AL155" s="50" t="str">
        <f>IF(SUM($H153:AL153) &gt; SUM($H151:AL151),  " N/A", IF(SUM($H153:$BG153) = SUM($H151:$BH151),    " ",IF(AL153 = SUM($H151:$BH151),  " ",   "x")))</f>
        <v>x</v>
      </c>
      <c r="AM155" s="50" t="str">
        <f>IF(SUM($H153:AM153) &gt; SUM($H151:AM151),  " N/A", IF(SUM($H153:$BG153) = SUM($H151:$BH151),    " ",IF(AM153 = SUM($H151:$BH151),  " ",   "x")))</f>
        <v>x</v>
      </c>
      <c r="AN155" s="50" t="str">
        <f>IF(SUM($H153:AN153) &gt; SUM($H151:AN151),  " N/A", IF(SUM($H153:$BG153) = SUM($H151:$BH151),    " ",IF(AN153 = SUM($H151:$BH151),  " ",   "x")))</f>
        <v>x</v>
      </c>
      <c r="AO155" s="50" t="str">
        <f>IF(SUM($H153:AO153) &gt; SUM($H151:AO151),  " N/A", IF(SUM($H153:$BG153) = SUM($H151:$BH151),    " ",IF(AO153 = SUM($H151:$BH151),  " ",   "x")))</f>
        <v>x</v>
      </c>
      <c r="AP155" s="50" t="str">
        <f>IF(SUM($H153:AP153) &gt; SUM($H151:AP151),  " N/A", IF(SUM($H153:$BG153) = SUM($H151:$BH151),    " ",IF(AP153 = SUM($H151:$BH151),  " ",   "x")))</f>
        <v>x</v>
      </c>
      <c r="AQ155" s="50" t="str">
        <f>IF(SUM($H153:AQ153) &gt; SUM($H151:AQ151),  " N/A", IF(SUM($H153:$BG153) = SUM($H151:$BH151),    " ",IF(AQ153 = SUM($H151:$BH151),  " ",   "x")))</f>
        <v>x</v>
      </c>
      <c r="AR155" s="50" t="str">
        <f>IF(SUM($H153:AR153) &gt; SUM($H151:AR151),  " N/A", IF(SUM($H153:$BG153) = SUM($H151:$BH151),    " ",IF(AR153 = SUM($H151:$BH151),  " ",   "x")))</f>
        <v>x</v>
      </c>
      <c r="AS155" s="50" t="str">
        <f>IF(SUM($H153:AS153) &gt; SUM($H151:AS151),  " N/A", IF(SUM($H153:$BG153) = SUM($H151:$BH151),    " ",IF(AS153 = SUM($H151:$BH151),  " ",   "x")))</f>
        <v>x</v>
      </c>
      <c r="AT155" s="50" t="str">
        <f>IF(SUM($H153:AT153) &gt; SUM($H151:AT151),  " N/A", IF(SUM($H153:$BG153) = SUM($H151:$BH151),    " ",IF(AT153 = SUM($H151:$BH151),  " ",   "x")))</f>
        <v>x</v>
      </c>
      <c r="AU155" s="50" t="str">
        <f>IF(SUM($H153:AU153) &gt; SUM($H151:AU151),  " N/A", IF(SUM($H153:$BG153) = SUM($H151:$BH151),    " ",IF(AU153 = SUM($H151:$BH151),  " ",   "x")))</f>
        <v>x</v>
      </c>
      <c r="AV155" s="50" t="str">
        <f>IF(SUM($H153:AV153) &gt; SUM($H151:AV151),  " N/A", IF(SUM($H153:$BG153) = SUM($H151:$BH151),    " ",IF(AV153 = SUM($H151:$BH151),  " ",   "x")))</f>
        <v>x</v>
      </c>
      <c r="AW155" s="50" t="str">
        <f>IF(SUM($H153:AW153) &gt; SUM($H151:AW151),  " N/A", IF(SUM($H153:$BG153) = SUM($H151:$BH151),    " ",IF(AW153 = SUM($H151:$BH151),  " ",   "x")))</f>
        <v>x</v>
      </c>
      <c r="AX155" s="50" t="str">
        <f>IF(SUM($H153:AX153) &gt; SUM($H151:AX151),  " N/A", IF(SUM($H153:$BG153) = SUM($H151:$BH151),    " ",IF(AX153 = SUM($H151:$BH151),  " ",   "x")))</f>
        <v>x</v>
      </c>
      <c r="AY155" s="50" t="str">
        <f>IF(SUM($H153:AY153) &gt; SUM($H151:AY151),  " N/A", IF(SUM($H153:$BG153) = SUM($H151:$BH151),    " ",IF(AY153 = SUM($H151:$BH151),  " ",   "x")))</f>
        <v>x</v>
      </c>
      <c r="AZ155" s="50" t="str">
        <f>IF(SUM($H153:AZ153) &gt; SUM($H151:AZ151),  " N/A", IF(SUM($H153:$BG153) = SUM($H151:$BH151),    " ",IF(AZ153 = SUM($H151:$BH151),  " ",   "x")))</f>
        <v>x</v>
      </c>
      <c r="BA155" s="50" t="str">
        <f>IF(SUM($H153:BA153) &gt; SUM($H151:BA151),  " N/A", IF(SUM($H153:$BG153) = SUM($H151:$BH151),    " ",IF(BA153 = SUM($H151:$BH151),  " ",   "x")))</f>
        <v>x</v>
      </c>
      <c r="BB155" s="50" t="str">
        <f>IF(SUM($H153:BB153) &gt; SUM($H151:BB151),  " N/A", IF(SUM($H153:$BG153) = SUM($H151:$BH151),    " ",IF(BB153 = SUM($H151:$BH151),  " ",   "x")))</f>
        <v>x</v>
      </c>
      <c r="BC155" s="50" t="str">
        <f>IF(SUM($H153:BC153) &gt; SUM($H151:BC151),  " N/A", IF(SUM($H153:$BG153) = SUM($H151:$BH151),    " ",IF(BC153 = SUM($H151:$BH151),  " ",   "x")))</f>
        <v>x</v>
      </c>
      <c r="BD155" s="50" t="str">
        <f>IF(SUM($H153:BD153) &gt; SUM($H151:BD151),  " N/A", IF(SUM($H153:$BG153) = SUM($H151:$BH151),    " ",IF(BD153 = SUM($H151:$BH151),  " ",   "x")))</f>
        <v>x</v>
      </c>
      <c r="BE155" s="50" t="str">
        <f>IF(SUM($H153:BE153) &gt; SUM($H151:BE151),  " N/A", IF(SUM($H153:$BG153) = SUM($H151:$BH151),    " ",IF(BE153 = SUM($H151:$BH151),  " ",   "x")))</f>
        <v>x</v>
      </c>
      <c r="BF155" s="50" t="str">
        <f>IF(SUM($H153:BF153) &gt; SUM($H151:BF151),  " N/A", IF(SUM($H153:$BG153) = SUM($H151:$BH151),    " ",IF(BF153 = SUM($H151:$BH151),  " ",   "x")))</f>
        <v>x</v>
      </c>
      <c r="BG155" s="50" t="str">
        <f>IF(SUM($H153:BG153) &gt; SUM($H151:BG151),  " N/A", IF(SUM($H153:$BG153) = SUM($H151:$BH151),    " ",IF(BG153 = SUM($H151:$BH151),  " ",   "x")))</f>
        <v>x</v>
      </c>
      <c r="BH155" s="21"/>
    </row>
    <row r="156" spans="2:60" ht="15.6" x14ac:dyDescent="0.3">
      <c r="B156" s="71"/>
      <c r="C156" s="77"/>
      <c r="D156" s="82" t="s">
        <v>249</v>
      </c>
      <c r="E156" s="54">
        <f>SUM(H156:BG156)</f>
        <v>41</v>
      </c>
      <c r="F156" s="115">
        <f>Gant_24!$E156-E158</f>
        <v>41</v>
      </c>
      <c r="H156" s="41"/>
      <c r="I156" s="42"/>
      <c r="J156" s="42"/>
      <c r="K156" s="42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>
        <v>41</v>
      </c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  <c r="BC156" s="51"/>
      <c r="BD156" s="51"/>
      <c r="BE156" s="51"/>
      <c r="BF156" s="51"/>
      <c r="BG156" s="51"/>
      <c r="BH156" s="21"/>
    </row>
    <row r="157" spans="2:60" ht="15.6" x14ac:dyDescent="0.3">
      <c r="B157" s="68"/>
      <c r="C157" s="78"/>
      <c r="D157" s="83" t="s">
        <v>261</v>
      </c>
      <c r="E157" s="55">
        <f>SUM(H157:BG157)</f>
        <v>0</v>
      </c>
      <c r="F157" s="116"/>
      <c r="H157" s="43"/>
      <c r="I157" s="44"/>
      <c r="J157" s="44"/>
      <c r="K157" s="44"/>
      <c r="L157" s="50"/>
      <c r="M157" s="50"/>
      <c r="N157" s="50"/>
      <c r="O157" s="50"/>
      <c r="P157" s="50"/>
      <c r="Q157" s="50"/>
      <c r="R157" s="50"/>
      <c r="S157" s="50"/>
      <c r="T157" s="50"/>
      <c r="U157" s="50"/>
      <c r="V157" s="50"/>
      <c r="W157" s="50"/>
      <c r="X157" s="50"/>
      <c r="Y157" s="50"/>
      <c r="Z157" s="50"/>
      <c r="AA157" s="50"/>
      <c r="AB157" s="50"/>
      <c r="AC157" s="50"/>
      <c r="AD157" s="50"/>
      <c r="AE157" s="50"/>
      <c r="AF157" s="50"/>
      <c r="AG157" s="50"/>
      <c r="AH157" s="50"/>
      <c r="AI157" s="50"/>
      <c r="AJ157" s="50"/>
      <c r="AK157" s="50"/>
      <c r="AL157" s="50"/>
      <c r="AM157" s="50"/>
      <c r="AN157" s="50"/>
      <c r="AO157" s="50"/>
      <c r="AP157" s="50"/>
      <c r="AQ157" s="50"/>
      <c r="AR157" s="50"/>
      <c r="AS157" s="50"/>
      <c r="AT157" s="50"/>
      <c r="AU157" s="50"/>
      <c r="AV157" s="50"/>
      <c r="AW157" s="50"/>
      <c r="AX157" s="50"/>
      <c r="AY157" s="50"/>
      <c r="AZ157" s="50"/>
      <c r="BA157" s="50"/>
      <c r="BB157" s="50"/>
      <c r="BC157" s="50"/>
      <c r="BD157" s="50"/>
      <c r="BE157" s="50"/>
      <c r="BF157" s="50"/>
      <c r="BG157" s="50"/>
      <c r="BH157" s="21"/>
    </row>
    <row r="158" spans="2:60" ht="15.6" x14ac:dyDescent="0.3">
      <c r="B158" s="68" t="s">
        <v>142</v>
      </c>
      <c r="C158" s="78" t="s">
        <v>143</v>
      </c>
      <c r="D158" s="83" t="s">
        <v>241</v>
      </c>
      <c r="E158" s="55">
        <f>SUM(H158:BG158)</f>
        <v>0</v>
      </c>
      <c r="F158" s="116"/>
      <c r="H158" s="45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  <c r="AO158" s="46"/>
      <c r="AP158" s="46"/>
      <c r="AQ158" s="46"/>
      <c r="AR158" s="46"/>
      <c r="AS158" s="46"/>
      <c r="AT158" s="46"/>
      <c r="AU158" s="46"/>
      <c r="AV158" s="46"/>
      <c r="AW158" s="46"/>
      <c r="AX158" s="46"/>
      <c r="AY158" s="46"/>
      <c r="AZ158" s="46"/>
      <c r="BA158" s="46"/>
      <c r="BB158" s="46"/>
      <c r="BC158" s="46"/>
      <c r="BD158" s="46"/>
      <c r="BE158" s="46"/>
      <c r="BF158" s="46"/>
      <c r="BG158" s="46"/>
      <c r="BH158" s="21"/>
    </row>
    <row r="159" spans="2:60" ht="15.6" x14ac:dyDescent="0.3">
      <c r="B159" s="68"/>
      <c r="C159" s="78"/>
      <c r="D159" s="83" t="s">
        <v>278</v>
      </c>
      <c r="E159" s="56">
        <f ca="1">MAX(H159:BG159)</f>
        <v>0</v>
      </c>
      <c r="F159" s="116"/>
      <c r="H159" s="47"/>
      <c r="I159" s="48"/>
      <c r="J159" s="48"/>
      <c r="K159" s="48"/>
      <c r="L159" s="50"/>
      <c r="M159" s="50"/>
      <c r="N159" s="50"/>
      <c r="O159" s="50"/>
      <c r="P159" s="50"/>
      <c r="Q159" s="50"/>
      <c r="R159" s="50"/>
      <c r="S159" s="50"/>
      <c r="T159" s="50"/>
      <c r="U159" s="50"/>
      <c r="V159" s="50"/>
      <c r="W159" s="50"/>
      <c r="X159" s="50"/>
      <c r="Y159" s="50"/>
      <c r="Z159" s="50"/>
      <c r="AA159" s="44"/>
      <c r="AB159" s="44"/>
      <c r="AC159" s="44"/>
      <c r="AD159" s="44" t="str">
        <f>IF(SUM(H156:BG156) = AD158, " 0 ", " ")</f>
        <v xml:space="preserve"> </v>
      </c>
      <c r="AE159" s="44" t="str">
        <f ca="1">IF(AE9&gt;WEEKNUM(TODAY())," ", IF(AND(AE10="x",SUM($AD158:AE158)&gt;$AD156),H9-(SUM($AD158:AE158)/SUM($AD156:$BG156)),IF(SUM($AD158:AE158)&gt;=$AD156," ",H9-(SUM($AD158:AE158)/(SUM($AD156:$BG156))))))</f>
        <v xml:space="preserve"> </v>
      </c>
      <c r="AF159" s="44" t="str">
        <f ca="1">IF(AF9&gt;WEEKNUM(TODAY())," ", IF(AND(AF10="x",SUM($AD158:AF158)&gt;$AD156),I9-(SUM($AD158:AF158)/SUM($AD156:$BG156)),IF(SUM($AD158:AF158)&gt;=$AD156," ",I9-(SUM($AD158:AF158)/(SUM($AD156:$BG156))))))</f>
        <v xml:space="preserve"> </v>
      </c>
      <c r="AG159" s="44" t="str">
        <f ca="1">IF(AG9&gt;WEEKNUM(TODAY())," ", IF(AND(AG10="x",SUM($AD158:AG158)&gt;$AD156),J9-(SUM($AD158:AG158)/SUM($AD156:$BG156)),IF(SUM($AD158:AG158)&gt;=$AD156," ",J9-(SUM($AD158:AG158)/(SUM($AD156:$BG156))))))</f>
        <v xml:space="preserve"> </v>
      </c>
      <c r="AH159" s="44" t="str">
        <f ca="1">IF(AH9&gt;WEEKNUM(TODAY())," ", IF(AND(AH10="x",SUM($AD158:AH158)&gt;$AD156),K9-(SUM($AD158:AH158)/SUM($AD156:$BG156)),IF(SUM($AD158:AH158)&gt;=$AD156," ",K9-(SUM($AD158:AH158)/(SUM($AD156:$BG156))))))</f>
        <v xml:space="preserve"> </v>
      </c>
      <c r="AI159" s="44" t="str">
        <f ca="1">IF(AI9&gt;WEEKNUM(TODAY())," ", IF(AND(AI10="x",SUM($AD158:AI158)&gt;$AD156),L9-(SUM($AD158:AI158)/SUM($AD156:$BG156)),IF(SUM($AD158:AI158)&gt;=$AD156," ",L9-(SUM($AD158:AI158)/(SUM($AD156:$BG156))))))</f>
        <v xml:space="preserve"> </v>
      </c>
      <c r="AJ159" s="44" t="str">
        <f ca="1">IF(AJ9&gt;WEEKNUM(TODAY())," ", IF(AND(AJ10="x",SUM($AD158:AJ158)&gt;$AD156),M9-(SUM($AD158:AJ158)/SUM($AD156:$BG156)),IF(SUM($AD158:AJ158)&gt;=$AD156," ",M9-(SUM($AD158:AJ158)/(SUM($AD156:$BG156))))))</f>
        <v xml:space="preserve"> </v>
      </c>
      <c r="AK159" s="44" t="str">
        <f ca="1">IF(AK9&gt;WEEKNUM(TODAY())," ", IF(AND(AK10="x",SUM($AD158:AK158)&gt;$AD156),N9-(SUM($AD158:AK158)/SUM($AD156:$BG156)),IF(SUM($AD158:AK158)&gt;=$AD156," ",N9-(SUM($AD158:AK158)/(SUM($AD156:$BG156))))))</f>
        <v xml:space="preserve"> </v>
      </c>
      <c r="AL159" s="44" t="str">
        <f ca="1">IF(AL9&gt;WEEKNUM(TODAY())," ", IF(AND(AL10="x",SUM($AD158:AL158)&gt;$AD156),O9-(SUM($AD158:AL158)/SUM($AD156:$BG156)),IF(SUM($AD158:AL158)&gt;=$AD156," ",O9-(SUM($AD158:AL158)/(SUM($AD156:$BG156))))))</f>
        <v xml:space="preserve"> </v>
      </c>
      <c r="AM159" s="44" t="str">
        <f ca="1">IF(AM9&gt;WEEKNUM(TODAY())," ", IF(AND(AM10="x",SUM($AD158:AM158)&gt;$AD156),P9-(SUM($AD158:AM158)/SUM($AD156:$BG156)),IF(SUM($AD158:AM158)&gt;=$AD156," ",P9-(SUM($AD158:AM158)/(SUM($AD156:$BG156))))))</f>
        <v xml:space="preserve"> </v>
      </c>
      <c r="AN159" s="44" t="str">
        <f ca="1">IF(AN9&gt;WEEKNUM(TODAY())," ", IF(AND(AN10="x",SUM($AD158:AN158)&gt;$AD156),Q9-(SUM($AD158:AN158)/SUM($AD156:$BG156)),IF(SUM($AD158:AN158)&gt;=$AD156," ",Q9-(SUM($AD158:AN158)/(SUM($AD156:$BG156))))))</f>
        <v xml:space="preserve"> </v>
      </c>
      <c r="AO159" s="44" t="str">
        <f ca="1">IF(AO9&gt;WEEKNUM(TODAY())," ", IF(AND(AO10="x",SUM($AD158:AO158)&gt;$AD156),R9-(SUM($AD158:AO158)/SUM($AD156:$BG156)),IF(SUM($AD158:AO158)&gt;=$AD156," ",R9-(SUM($AD158:AO158)/(SUM($AD156:$BG156))))))</f>
        <v xml:space="preserve"> </v>
      </c>
      <c r="AP159" s="44" t="str">
        <f ca="1">IF(AP9&gt;WEEKNUM(TODAY())," ", IF(AND(AP10="x",SUM($AD158:AP158)&gt;$AD156),S9-(SUM($AD158:AP158)/SUM($AD156:$BG156)),IF(SUM($AD158:AP158)&gt;=$AD156," ",S9-(SUM($AD158:AP158)/(SUM($AD156:$BG156))))))</f>
        <v xml:space="preserve"> </v>
      </c>
      <c r="AQ159" s="44" t="str">
        <f ca="1">IF(AQ9&gt;WEEKNUM(TODAY())," ", IF(AND(AQ10="x",SUM($AD158:AQ158)&gt;$AD156),T9-(SUM($AD158:AQ158)/SUM($AD156:$BG156)),IF(SUM($AD158:AQ158)&gt;=$AD156," ",T9-(SUM($AD158:AQ158)/(SUM($AD156:$BG156))))))</f>
        <v xml:space="preserve"> </v>
      </c>
      <c r="AR159" s="44" t="str">
        <f ca="1">IF(AR9&gt;WEEKNUM(TODAY())," ", IF(AND(AR10="x",SUM($AD158:AR158)&gt;$AD156),U9-(SUM($AD158:AR158)/SUM($AD156:$BG156)),IF(SUM($AD158:AR158)&gt;=$AD156," ",U9-(SUM($AD158:AR158)/(SUM($AD156:$BG156))))))</f>
        <v xml:space="preserve"> </v>
      </c>
      <c r="AS159" s="44" t="str">
        <f ca="1">IF(AS9&gt;WEEKNUM(TODAY())," ", IF(AND(AS10="x",SUM($AD158:AS158)&gt;$AD156),V9-(SUM($AD158:AS158)/SUM($AD156:$BG156)),IF(SUM($AD158:AS158)&gt;=$AD156," ",V9-(SUM($AD158:AS158)/(SUM($AD156:$BG156))))))</f>
        <v xml:space="preserve"> </v>
      </c>
      <c r="AT159" s="44" t="str">
        <f ca="1">IF(AT9&gt;WEEKNUM(TODAY())," ", IF(AND(AT10="x",SUM($AD158:AT158)&gt;$AD156),W9-(SUM($AD158:AT158)/SUM($AD156:$BG156)),IF(SUM($AD158:AT158)&gt;=$AD156," ",W9-(SUM($AD158:AT158)/(SUM($AD156:$BG156))))))</f>
        <v xml:space="preserve"> </v>
      </c>
      <c r="AU159" s="44" t="str">
        <f ca="1">IF(AU9&gt;WEEKNUM(TODAY())," ", IF(AND(AU10="x",SUM($AD158:AU158)&gt;$AD156),X9-(SUM($AD158:AU158)/SUM($AD156:$BG156)),IF(SUM($AD158:AU158)&gt;=$AD156," ",X9-(SUM($AD158:AU158)/(SUM($AD156:$BG156))))))</f>
        <v xml:space="preserve"> </v>
      </c>
      <c r="AV159" s="44" t="str">
        <f ca="1">IF(AV9&gt;WEEKNUM(TODAY())," ", IF(AND(AV10="x",SUM($AD158:AV158)&gt;$AD156),Y9-(SUM($AD158:AV158)/SUM($AD156:$BG156)),IF(SUM($AD158:AV158)&gt;=$AD156," ",Y9-(SUM($AD158:AV158)/(SUM($AD156:$BG156))))))</f>
        <v xml:space="preserve"> </v>
      </c>
      <c r="AW159" s="44" t="str">
        <f ca="1">IF(AW9&gt;WEEKNUM(TODAY())," ", IF(AND(AW10="x",SUM($AD158:AW158)&gt;$AD156),Z9-(SUM($AD158:AW158)/SUM($AD156:$BG156)),IF(SUM($AD158:AW158)&gt;=$AD156," ",Z9-(SUM($AD158:AW158)/(SUM($AD156:$BG156))))))</f>
        <v xml:space="preserve"> </v>
      </c>
      <c r="AX159" s="44" t="str">
        <f ca="1">IF(AX9&gt;WEEKNUM(TODAY())," ", IF(AND(AX10="x",SUM($AD158:AX158)&gt;$AD156),AA9-(SUM($AD158:AX158)/SUM($AD156:$BG156)),IF(SUM($AD158:AX158)&gt;=$AD156," ",AA9-(SUM($AD158:AX158)/(SUM($AD156:$BG156))))))</f>
        <v xml:space="preserve"> </v>
      </c>
      <c r="AY159" s="44" t="str">
        <f ca="1">IF(AY9&gt;WEEKNUM(TODAY())," ", IF(AND(AY10="x",SUM($AD158:AY158)&gt;$AD156),AB9-(SUM($AD158:AY158)/SUM($AD156:$BG156)),IF(SUM($AD158:AY158)&gt;=$AD156," ",AB9-(SUM($AD158:AY158)/(SUM($AD156:$BG156))))))</f>
        <v xml:space="preserve"> </v>
      </c>
      <c r="AZ159" s="44" t="str">
        <f ca="1">IF(AZ9&gt;WEEKNUM(TODAY())," ", IF(AND(AZ10="x",SUM($AD158:AZ158)&gt;$AD156),AC9-(SUM($AD158:AZ158)/SUM($AD156:$BG156)),IF(SUM($AD158:AZ158)&gt;=$AD156," ",AC9-(SUM($AD158:AZ158)/(SUM($AD156:$BG156))))))</f>
        <v xml:space="preserve"> </v>
      </c>
      <c r="BA159" s="44" t="str">
        <f ca="1">IF(BA9&gt;WEEKNUM(TODAY())," ", IF(AND(BA10="x",SUM($AD158:BA158)&gt;$AD156),AD9-(SUM($AD158:BA158)/SUM($AD156:$BG156)),IF(SUM($AD158:BA158)&gt;=$AD156," ",AD9-(SUM($AD158:BA158)/(SUM($AD156:$BG156))))))</f>
        <v xml:space="preserve"> </v>
      </c>
      <c r="BB159" s="44" t="str">
        <f ca="1">IF(BB9&gt;WEEKNUM(TODAY())," ", IF(AND(BB10="x",SUM($AD158:BB158)&gt;$AD156),AE9-(SUM($AD158:BB158)/SUM($AD156:$BG156)),IF(SUM($AD158:BB158)&gt;=$AD156," ",AE9-(SUM($AD158:BB158)/(SUM($AD156:$BG156))))))</f>
        <v xml:space="preserve"> </v>
      </c>
      <c r="BC159" s="44" t="str">
        <f ca="1">IF(BC9&gt;WEEKNUM(TODAY())," ", IF(AND(BC10="x",SUM($AD158:BC158)&gt;$AD156),AF9-(SUM($AD158:BC158)/SUM($AD156:$BG156)),IF(SUM($AD158:BC158)&gt;=$AD156," ",AF9-(SUM($AD158:BC158)/(SUM($AD156:$BG156))))))</f>
        <v xml:space="preserve"> </v>
      </c>
      <c r="BD159" s="44" t="str">
        <f ca="1">IF(BD9&gt;WEEKNUM(TODAY())," ", IF(AND(BD10="x",SUM($AD158:BD158)&gt;$AD156),AG9-(SUM($AD158:BD158)/SUM($AD156:$BG156)),IF(SUM($AD158:BD158)&gt;=$AD156," ",AG9-(SUM($AD158:BD158)/(SUM($AD156:$BG156))))))</f>
        <v xml:space="preserve"> </v>
      </c>
      <c r="BE159" s="44" t="str">
        <f ca="1">IF(BE9&gt;WEEKNUM(TODAY())," ", IF(AND(BE10="x",SUM($AD158:BE158)&gt;$AD156),AH9-(SUM($AD158:BE158)/SUM($AD156:$BG156)),IF(SUM($AD158:BE158)&gt;=$AD156," ",AH9-(SUM($AD158:BE158)/(SUM($AD156:$BG156))))))</f>
        <v xml:space="preserve"> </v>
      </c>
      <c r="BF159" s="44" t="str">
        <f ca="1">IF(BF9&gt;WEEKNUM(TODAY())," ", IF(AND(BF10="x",SUM($AD158:BF158)&gt;$AD156),AI9-(SUM($AD158:BF158)/SUM($AD156:$BG156)),IF(SUM($AD158:BF158)&gt;=$AD156," ",AI9-(SUM($AD158:BF158)/(SUM($AD156:$BG156))))))</f>
        <v xml:space="preserve"> </v>
      </c>
      <c r="BG159" s="44" t="str">
        <f ca="1">IF(BG9&gt;WEEKNUM(TODAY())," ", IF(AND(BG10="x",SUM($AD158:BG158)&gt;$AD156),AJ9-(SUM($AD158:BG158)/SUM($AD156:$BG156)),IF(SUM($AD158:BG158)&gt;=$AD156," ",AJ9-(SUM($AD158:BG158)/(SUM($AD156:$BG156))))))</f>
        <v xml:space="preserve"> </v>
      </c>
      <c r="BH159" s="21"/>
    </row>
    <row r="160" spans="2:60" ht="16.2" thickBot="1" x14ac:dyDescent="0.35">
      <c r="B160" s="70"/>
      <c r="C160" s="79"/>
      <c r="D160" s="84"/>
      <c r="E160" s="57"/>
      <c r="F160" s="117"/>
      <c r="H160" s="49" t="str">
        <f>IF(H156= " ", " ",IF(H158&gt;SUM($H156:$BG156), " N/A", IF(SUM($H158:$BG158)=SUM($H156:BG156), " ", IF(H158=SUM($H156:BG156), " ", "x"))))</f>
        <v>x</v>
      </c>
      <c r="I160" s="50" t="str">
        <f>IF(SUM($H158:I158) &gt; SUM($H156:I156),  " N/A", IF(SUM($H158:$BG158) = SUM($H156:$BH156),    " ",IF(I158 = SUM($H156:$BH156),  " ",   "x")))</f>
        <v>x</v>
      </c>
      <c r="J160" s="50" t="str">
        <f>IF(SUM($H158:J158) &gt; SUM($H156:J156),  " N/A", IF(SUM($H158:$BG158) = SUM($H156:$BH156),    " ",IF(J158 = SUM($H156:$BH156),  " ",   "x")))</f>
        <v>x</v>
      </c>
      <c r="K160" s="50" t="str">
        <f>IF(SUM($H158:K158) &gt; SUM($H156:K156),  " N/A", IF(SUM($H158:$BG158) = SUM($H156:$BH156),    " ",IF(K158 = SUM($H156:$BH156),  " ",   "x")))</f>
        <v>x</v>
      </c>
      <c r="L160" s="50" t="str">
        <f>IF(SUM($H158:L158) &gt; SUM($H156:L156),  " N/A", IF(SUM($H158:$BG158) = SUM($H156:$BH156),    " ",IF(L158 = SUM($H156:$BH156),  " ",   "x")))</f>
        <v>x</v>
      </c>
      <c r="M160" s="50" t="str">
        <f>IF(SUM($H158:M158) &gt; SUM($H156:M156),  " N/A", IF(SUM($H158:$BG158) = SUM($H156:$BH156),    " ",IF(M158 = SUM($H156:$BH156),  " ",   "x")))</f>
        <v>x</v>
      </c>
      <c r="N160" s="50" t="str">
        <f>IF(SUM($H158:N158) &gt; SUM($H156:N156),  " N/A", IF(SUM($H158:$BG158) = SUM($H156:$BH156),    " ",IF(N158 = SUM($H156:$BH156),  " ",   "x")))</f>
        <v>x</v>
      </c>
      <c r="O160" s="50" t="str">
        <f>IF(SUM($H158:O158) &gt; SUM($H156:O156),  " N/A", IF(SUM($H158:$BG158) = SUM($H156:$BH156),    " ",IF(O158 = SUM($H156:$BH156),  " ",   "x")))</f>
        <v>x</v>
      </c>
      <c r="P160" s="50" t="str">
        <f>IF(SUM($H158:P158) &gt; SUM($H156:P156),  " N/A", IF(SUM($H158:$BG158) = SUM($H156:$BH156),    " ",IF(P158 = SUM($H156:$BH156),  " ",   "x")))</f>
        <v>x</v>
      </c>
      <c r="Q160" s="50" t="str">
        <f>IF(SUM($H158:Q158) &gt; SUM($H156:Q156),  " N/A", IF(SUM($H158:$BG158) = SUM($H156:$BH156),    " ",IF(Q158 = SUM($H156:$BH156),  " ",   "x")))</f>
        <v>x</v>
      </c>
      <c r="R160" s="50" t="str">
        <f>IF(SUM($H158:R158) &gt; SUM($H156:R156),  " N/A", IF(SUM($H158:$BG158) = SUM($H156:$BH156),    " ",IF(R158 = SUM($H156:$BH156),  " ",   "x")))</f>
        <v>x</v>
      </c>
      <c r="S160" s="50" t="str">
        <f>IF(SUM($H158:S158) &gt; SUM($H156:S156),  " N/A", IF(SUM($H158:$BG158) = SUM($H156:$BH156),    " ",IF(S158 = SUM($H156:$BH156),  " ",   "x")))</f>
        <v>x</v>
      </c>
      <c r="T160" s="50" t="str">
        <f>IF(SUM($H158:T158) &gt; SUM($H156:T156),  " N/A", IF(SUM($H158:$BG158) = SUM($H156:$BH156),    " ",IF(T158 = SUM($H156:$BH156),  " ",   "x")))</f>
        <v>x</v>
      </c>
      <c r="U160" s="50" t="str">
        <f>IF(SUM($H158:U158) &gt; SUM($H156:U156),  " N/A", IF(SUM($H158:$BG158) = SUM($H156:$BH156),    " ",IF(U158 = SUM($H156:$BH156),  " ",   "x")))</f>
        <v>x</v>
      </c>
      <c r="V160" s="50" t="str">
        <f>IF(SUM($H158:V158) &gt; SUM($H156:V156),  " N/A", IF(SUM($H158:$BG158) = SUM($H156:$BH156),    " ",IF(V158 = SUM($H156:$BH156),  " ",   "x")))</f>
        <v>x</v>
      </c>
      <c r="W160" s="50" t="str">
        <f>IF(SUM($H158:W158) &gt; SUM($H156:W156),  " N/A", IF(SUM($H158:$BG158) = SUM($H156:$BH156),    " ",IF(W158 = SUM($H156:$BH156),  " ",   "x")))</f>
        <v>x</v>
      </c>
      <c r="X160" s="50" t="str">
        <f>IF(SUM($H158:X158) &gt; SUM($H156:X156),  " N/A", IF(SUM($H158:$BG158) = SUM($H156:$BH156),    " ",IF(X158 = SUM($H156:$BH156),  " ",   "x")))</f>
        <v>x</v>
      </c>
      <c r="Y160" s="50" t="str">
        <f>IF(SUM($H158:Y158) &gt; SUM($H156:Y156),  " N/A", IF(SUM($H158:$BG158) = SUM($H156:$BH156),    " ",IF(Y158 = SUM($H156:$BH156),  " ",   "x")))</f>
        <v>x</v>
      </c>
      <c r="Z160" s="50" t="str">
        <f>IF(SUM($H158:Z158) &gt; SUM($H156:Z156),  " N/A", IF(SUM($H158:$BG158) = SUM($H156:$BH156),    " ",IF(Z158 = SUM($H156:$BH156),  " ",   "x")))</f>
        <v>x</v>
      </c>
      <c r="AA160" s="50" t="str">
        <f>IF(SUM($H158:AA158) &gt; SUM($H156:AA156),  " N/A", IF(SUM($H158:$BG158) = SUM($H156:$BH156),    " ",IF(AA158 = SUM($H156:$BH156),  " ",   "x")))</f>
        <v>x</v>
      </c>
      <c r="AB160" s="50" t="str">
        <f>IF(SUM($H158:AB158) &gt; SUM($H156:AB156),  " N/A", IF(SUM($H158:$BG158) = SUM($H156:$BH156),    " ",IF(AB158 = SUM($H156:$BH156),  " ",   "x")))</f>
        <v>x</v>
      </c>
      <c r="AC160" s="50" t="str">
        <f>IF(SUM($H158:AC158) &gt; SUM($H156:AC156),  " N/A", IF(SUM($H158:$BG158) = SUM($H156:$BH156),    " ",IF(AC158 = SUM($H156:$BH156),  " ",   "x")))</f>
        <v>x</v>
      </c>
      <c r="AD160" s="50" t="str">
        <f>IF(SUM($H158:AD158) &gt; SUM($H156:AD156),  " N/A", IF(SUM($H158:$BG158) = SUM($H156:$BH156),    " ",IF(AD158 = SUM($H156:$BH156),  " ",   "x")))</f>
        <v>x</v>
      </c>
      <c r="AE160" s="50" t="str">
        <f>IF(SUM($H158:AE158) &gt; SUM($H156:AE156),  " N/A", IF(SUM($H158:$BG158) = SUM($H156:$BH156),    " ",IF(AE158 = SUM($H156:$BH156),  " ",   "x")))</f>
        <v>x</v>
      </c>
      <c r="AF160" s="50" t="str">
        <f>IF(SUM($H158:AF158) &gt; SUM($H156:AF156),  " N/A", IF(SUM($H158:$BG158) = SUM($H156:$BH156),    " ",IF(AF158 = SUM($H156:$BH156),  " ",   "x")))</f>
        <v>x</v>
      </c>
      <c r="AG160" s="50" t="str">
        <f>IF(SUM($H158:AG158) &gt; SUM($H156:AG156),  " N/A", IF(SUM($H158:$BG158) = SUM($H156:$BH156),    " ",IF(AG158 = SUM($H156:$BH156),  " ",   "x")))</f>
        <v>x</v>
      </c>
      <c r="AH160" s="50" t="str">
        <f>IF(SUM($H158:AH158) &gt; SUM($H156:AH156),  " N/A", IF(SUM($H158:$BG158) = SUM($H156:$BH156),    " ",IF(AH158 = SUM($H156:$BH156),  " ",   "x")))</f>
        <v>x</v>
      </c>
      <c r="AI160" s="50" t="str">
        <f>IF(SUM($H158:AI158) &gt; SUM($H156:AI156),  " N/A", IF(SUM($H158:$BG158) = SUM($H156:$BH156),    " ",IF(AI158 = SUM($H156:$BH156),  " ",   "x")))</f>
        <v>x</v>
      </c>
      <c r="AJ160" s="50" t="str">
        <f>IF(SUM($H158:AJ158) &gt; SUM($H156:AJ156),  " N/A", IF(SUM($H158:$BG158) = SUM($H156:$BH156),    " ",IF(AJ158 = SUM($H156:$BH156),  " ",   "x")))</f>
        <v>x</v>
      </c>
      <c r="AK160" s="50" t="str">
        <f>IF(SUM($H158:AK158) &gt; SUM($H156:AK156),  " N/A", IF(SUM($H158:$BG158) = SUM($H156:$BH156),    " ",IF(AK158 = SUM($H156:$BH156),  " ",   "x")))</f>
        <v>x</v>
      </c>
      <c r="AL160" s="50" t="str">
        <f>IF(SUM($H158:AL158) &gt; SUM($H156:AL156),  " N/A", IF(SUM($H158:$BG158) = SUM($H156:$BH156),    " ",IF(AL158 = SUM($H156:$BH156),  " ",   "x")))</f>
        <v>x</v>
      </c>
      <c r="AM160" s="50" t="str">
        <f>IF(SUM($H158:AM158) &gt; SUM($H156:AM156),  " N/A", IF(SUM($H158:$BG158) = SUM($H156:$BH156),    " ",IF(AM158 = SUM($H156:$BH156),  " ",   "x")))</f>
        <v>x</v>
      </c>
      <c r="AN160" s="50" t="str">
        <f>IF(SUM($H158:AN158) &gt; SUM($H156:AN156),  " N/A", IF(SUM($H158:$BG158) = SUM($H156:$BH156),    " ",IF(AN158 = SUM($H156:$BH156),  " ",   "x")))</f>
        <v>x</v>
      </c>
      <c r="AO160" s="50" t="str">
        <f>IF(SUM($H158:AO158) &gt; SUM($H156:AO156),  " N/A", IF(SUM($H158:$BG158) = SUM($H156:$BH156),    " ",IF(AO158 = SUM($H156:$BH156),  " ",   "x")))</f>
        <v>x</v>
      </c>
      <c r="AP160" s="50" t="str">
        <f>IF(SUM($H158:AP158) &gt; SUM($H156:AP156),  " N/A", IF(SUM($H158:$BG158) = SUM($H156:$BH156),    " ",IF(AP158 = SUM($H156:$BH156),  " ",   "x")))</f>
        <v>x</v>
      </c>
      <c r="AQ160" s="50" t="str">
        <f>IF(SUM($H158:AQ158) &gt; SUM($H156:AQ156),  " N/A", IF(SUM($H158:$BG158) = SUM($H156:$BH156),    " ",IF(AQ158 = SUM($H156:$BH156),  " ",   "x")))</f>
        <v>x</v>
      </c>
      <c r="AR160" s="50" t="str">
        <f>IF(SUM($H158:AR158) &gt; SUM($H156:AR156),  " N/A", IF(SUM($H158:$BG158) = SUM($H156:$BH156),    " ",IF(AR158 = SUM($H156:$BH156),  " ",   "x")))</f>
        <v>x</v>
      </c>
      <c r="AS160" s="50" t="str">
        <f>IF(SUM($H158:AS158) &gt; SUM($H156:AS156),  " N/A", IF(SUM($H158:$BG158) = SUM($H156:$BH156),    " ",IF(AS158 = SUM($H156:$BH156),  " ",   "x")))</f>
        <v>x</v>
      </c>
      <c r="AT160" s="50" t="str">
        <f>IF(SUM($H158:AT158) &gt; SUM($H156:AT156),  " N/A", IF(SUM($H158:$BG158) = SUM($H156:$BH156),    " ",IF(AT158 = SUM($H156:$BH156),  " ",   "x")))</f>
        <v>x</v>
      </c>
      <c r="AU160" s="50" t="str">
        <f>IF(SUM($H158:AU158) &gt; SUM($H156:AU156),  " N/A", IF(SUM($H158:$BG158) = SUM($H156:$BH156),    " ",IF(AU158 = SUM($H156:$BH156),  " ",   "x")))</f>
        <v>x</v>
      </c>
      <c r="AV160" s="50" t="str">
        <f>IF(SUM($H158:AV158) &gt; SUM($H156:AV156),  " N/A", IF(SUM($H158:$BG158) = SUM($H156:$BH156),    " ",IF(AV158 = SUM($H156:$BH156),  " ",   "x")))</f>
        <v>x</v>
      </c>
      <c r="AW160" s="50" t="str">
        <f>IF(SUM($H158:AW158) &gt; SUM($H156:AW156),  " N/A", IF(SUM($H158:$BG158) = SUM($H156:$BH156),    " ",IF(AW158 = SUM($H156:$BH156),  " ",   "x")))</f>
        <v>x</v>
      </c>
      <c r="AX160" s="50" t="str">
        <f>IF(SUM($H158:AX158) &gt; SUM($H156:AX156),  " N/A", IF(SUM($H158:$BG158) = SUM($H156:$BH156),    " ",IF(AX158 = SUM($H156:$BH156),  " ",   "x")))</f>
        <v>x</v>
      </c>
      <c r="AY160" s="50" t="str">
        <f>IF(SUM($H158:AY158) &gt; SUM($H156:AY156),  " N/A", IF(SUM($H158:$BG158) = SUM($H156:$BH156),    " ",IF(AY158 = SUM($H156:$BH156),  " ",   "x")))</f>
        <v>x</v>
      </c>
      <c r="AZ160" s="50" t="str">
        <f>IF(SUM($H158:AZ158) &gt; SUM($H156:AZ156),  " N/A", IF(SUM($H158:$BG158) = SUM($H156:$BH156),    " ",IF(AZ158 = SUM($H156:$BH156),  " ",   "x")))</f>
        <v>x</v>
      </c>
      <c r="BA160" s="50" t="str">
        <f>IF(SUM($H158:BA158) &gt; SUM($H156:BA156),  " N/A", IF(SUM($H158:$BG158) = SUM($H156:$BH156),    " ",IF(BA158 = SUM($H156:$BH156),  " ",   "x")))</f>
        <v>x</v>
      </c>
      <c r="BB160" s="50" t="str">
        <f>IF(SUM($H158:BB158) &gt; SUM($H156:BB156),  " N/A", IF(SUM($H158:$BG158) = SUM($H156:$BH156),    " ",IF(BB158 = SUM($H156:$BH156),  " ",   "x")))</f>
        <v>x</v>
      </c>
      <c r="BC160" s="50" t="str">
        <f>IF(SUM($H158:BC158) &gt; SUM($H156:BC156),  " N/A", IF(SUM($H158:$BG158) = SUM($H156:$BH156),    " ",IF(BC158 = SUM($H156:$BH156),  " ",   "x")))</f>
        <v>x</v>
      </c>
      <c r="BD160" s="50" t="str">
        <f>IF(SUM($H158:BD158) &gt; SUM($H156:BD156),  " N/A", IF(SUM($H158:$BG158) = SUM($H156:$BH156),    " ",IF(BD158 = SUM($H156:$BH156),  " ",   "x")))</f>
        <v>x</v>
      </c>
      <c r="BE160" s="50" t="str">
        <f>IF(SUM($H158:BE158) &gt; SUM($H156:BE156),  " N/A", IF(SUM($H158:$BG158) = SUM($H156:$BH156),    " ",IF(BE158 = SUM($H156:$BH156),  " ",   "x")))</f>
        <v>x</v>
      </c>
      <c r="BF160" s="50" t="str">
        <f>IF(SUM($H158:BF158) &gt; SUM($H156:BF156),  " N/A", IF(SUM($H158:$BG158) = SUM($H156:$BH156),    " ",IF(BF158 = SUM($H156:$BH156),  " ",   "x")))</f>
        <v>x</v>
      </c>
      <c r="BG160" s="50" t="str">
        <f>IF(SUM($H158:BG158) &gt; SUM($H156:BG156),  " N/A", IF(SUM($H158:$BG158) = SUM($H156:$BH156),    " ",IF(BG158 = SUM($H156:$BH156),  " ",   "x")))</f>
        <v>x</v>
      </c>
      <c r="BH160" s="21"/>
    </row>
    <row r="161" spans="2:60" ht="15.6" x14ac:dyDescent="0.3">
      <c r="B161" s="71"/>
      <c r="C161" s="77"/>
      <c r="D161" s="82" t="s">
        <v>249</v>
      </c>
      <c r="E161" s="54">
        <f>SUM(H161:BG161)</f>
        <v>16</v>
      </c>
      <c r="F161" s="115">
        <f>Gant_24!$E161-E163</f>
        <v>16</v>
      </c>
      <c r="H161" s="41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>
        <v>16</v>
      </c>
      <c r="AE161" s="51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42"/>
      <c r="BB161" s="42"/>
      <c r="BC161" s="42"/>
      <c r="BD161" s="42"/>
      <c r="BE161" s="42"/>
      <c r="BF161" s="42"/>
      <c r="BG161" s="42"/>
      <c r="BH161" s="21"/>
    </row>
    <row r="162" spans="2:60" ht="15.6" x14ac:dyDescent="0.3">
      <c r="B162" s="68"/>
      <c r="C162" s="78"/>
      <c r="D162" s="83" t="s">
        <v>261</v>
      </c>
      <c r="E162" s="55">
        <f>SUM(H162:BG162)</f>
        <v>0</v>
      </c>
      <c r="F162" s="116"/>
      <c r="H162" s="43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  <c r="AA162" s="44"/>
      <c r="AB162" s="44"/>
      <c r="AC162" s="44"/>
      <c r="AD162" s="44"/>
      <c r="AE162" s="50"/>
      <c r="AF162" s="44"/>
      <c r="AG162" s="44"/>
      <c r="AH162" s="44"/>
      <c r="AI162" s="44"/>
      <c r="AJ162" s="44"/>
      <c r="AK162" s="44"/>
      <c r="AL162" s="44"/>
      <c r="AM162" s="44"/>
      <c r="AN162" s="44"/>
      <c r="AO162" s="44"/>
      <c r="AP162" s="44"/>
      <c r="AQ162" s="44"/>
      <c r="AR162" s="44"/>
      <c r="AS162" s="44"/>
      <c r="AT162" s="44"/>
      <c r="AU162" s="44"/>
      <c r="AV162" s="44"/>
      <c r="AW162" s="44"/>
      <c r="AX162" s="44"/>
      <c r="AY162" s="44"/>
      <c r="AZ162" s="44"/>
      <c r="BA162" s="44"/>
      <c r="BB162" s="44"/>
      <c r="BC162" s="44"/>
      <c r="BD162" s="44"/>
      <c r="BE162" s="44"/>
      <c r="BF162" s="44"/>
      <c r="BG162" s="44"/>
      <c r="BH162" s="21"/>
    </row>
    <row r="163" spans="2:60" ht="15.6" x14ac:dyDescent="0.3">
      <c r="B163" s="68" t="s">
        <v>145</v>
      </c>
      <c r="C163" s="78" t="s">
        <v>146</v>
      </c>
      <c r="D163" s="83" t="s">
        <v>241</v>
      </c>
      <c r="E163" s="55">
        <f>SUM(H163:BG163)</f>
        <v>0</v>
      </c>
      <c r="F163" s="116"/>
      <c r="H163" s="45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  <c r="AO163" s="46"/>
      <c r="AP163" s="46"/>
      <c r="AQ163" s="46"/>
      <c r="AR163" s="46"/>
      <c r="AS163" s="46"/>
      <c r="AT163" s="46"/>
      <c r="AU163" s="46"/>
      <c r="AV163" s="46"/>
      <c r="AW163" s="46"/>
      <c r="AX163" s="46"/>
      <c r="AY163" s="46"/>
      <c r="AZ163" s="46"/>
      <c r="BA163" s="46"/>
      <c r="BB163" s="46"/>
      <c r="BC163" s="46"/>
      <c r="BD163" s="46"/>
      <c r="BE163" s="46"/>
      <c r="BF163" s="46"/>
      <c r="BG163" s="46"/>
      <c r="BH163" s="21"/>
    </row>
    <row r="164" spans="2:60" ht="15.6" x14ac:dyDescent="0.3">
      <c r="B164" s="68"/>
      <c r="C164" s="78"/>
      <c r="D164" s="83" t="s">
        <v>278</v>
      </c>
      <c r="E164" s="56">
        <f ca="1">MAX(H164:BG164)</f>
        <v>0</v>
      </c>
      <c r="F164" s="116"/>
      <c r="H164" s="47"/>
      <c r="I164" s="48"/>
      <c r="J164" s="48"/>
      <c r="K164" s="48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  <c r="AA164" s="44"/>
      <c r="AB164" s="44"/>
      <c r="AC164" s="44"/>
      <c r="AD164" s="44" t="str">
        <f>IF(SUM(H161:BG161) = AD163, " 0 ", " ")</f>
        <v xml:space="preserve"> </v>
      </c>
      <c r="AE164" s="44" t="str">
        <f ca="1">IF(AE9&gt;WEEKNUM(TODAY())," ", IF(AND(AE10="x",SUM($AD163:AE163)&gt;$AD161),H9-(SUM($AD163:AE163)/SUM($AD161:$BG161)),IF(SUM($AD163:AE163)&gt;=$AD161," ",H9-(SUM($AD163:AE163)/(SUM($AD161:$BG161))))))</f>
        <v xml:space="preserve"> </v>
      </c>
      <c r="AF164" s="44" t="str">
        <f ca="1">IF(AF9&gt;WEEKNUM(TODAY())," ", IF(AND(AF10="x",SUM($AD163:AF163)&gt;$AD161),I9-(SUM($AD163:AF163)/SUM($AD161:$BG161)),IF(SUM($AD163:AF163)&gt;=$AD161," ",I9-(SUM($AD163:AF163)/(SUM($AD161:$BG161))))))</f>
        <v xml:space="preserve"> </v>
      </c>
      <c r="AG164" s="44" t="str">
        <f ca="1">IF(AG9&gt;WEEKNUM(TODAY())," ", IF(AND(AG10="x",SUM($AD163:AG163)&gt;$AD161),J9-(SUM($AD163:AG163)/SUM($AD161:$BG161)),IF(SUM($AD163:AG163)&gt;=$AD161," ",J9-(SUM($AD163:AG163)/(SUM($AD161:$BG161))))))</f>
        <v xml:space="preserve"> </v>
      </c>
      <c r="AH164" s="44" t="str">
        <f ca="1">IF(AH9&gt;WEEKNUM(TODAY())," ", IF(AND(AH10="x",SUM($AD163:AH163)&gt;$AD161),K9-(SUM($AD163:AH163)/SUM($AD161:$BG161)),IF(SUM($AD163:AH163)&gt;=$AD161," ",K9-(SUM($AD163:AH163)/(SUM($AD161:$BG161))))))</f>
        <v xml:space="preserve"> </v>
      </c>
      <c r="AI164" s="44" t="str">
        <f ca="1">IF(AI9&gt;WEEKNUM(TODAY())," ", IF(AND(AI10="x",SUM($AD163:AI163)&gt;$AD161),L9-(SUM($AD163:AI163)/SUM($AD161:$BG161)),IF(SUM($AD163:AI163)&gt;=$AD161," ",L9-(SUM($AD163:AI163)/(SUM($AD161:$BG161))))))</f>
        <v xml:space="preserve"> </v>
      </c>
      <c r="AJ164" s="44" t="str">
        <f ca="1">IF(AJ9&gt;WEEKNUM(TODAY())," ", IF(AND(AJ10="x",SUM($AD163:AJ163)&gt;$AD161),M9-(SUM($AD163:AJ163)/SUM($AD161:$BG161)),IF(SUM($AD163:AJ163)&gt;=$AD161," ",M9-(SUM($AD163:AJ163)/(SUM($AD161:$BG161))))))</f>
        <v xml:space="preserve"> </v>
      </c>
      <c r="AK164" s="44" t="str">
        <f ca="1">IF(AK9&gt;WEEKNUM(TODAY())," ", IF(AND(AK10="x",SUM($AD163:AK163)&gt;$AD161),N9-(SUM($AD163:AK163)/SUM($AD161:$BG161)),IF(SUM($AD163:AK163)&gt;=$AD161," ",N9-(SUM($AD163:AK163)/(SUM($AD161:$BG161))))))</f>
        <v xml:space="preserve"> </v>
      </c>
      <c r="AL164" s="44" t="str">
        <f ca="1">IF(AL9&gt;WEEKNUM(TODAY())," ", IF(AND(AL10="x",SUM($AD163:AL163)&gt;$AD161),O9-(SUM($AD163:AL163)/SUM($AD161:$BG161)),IF(SUM($AD163:AL163)&gt;=$AD161," ",O9-(SUM($AD163:AL163)/(SUM($AD161:$BG161))))))</f>
        <v xml:space="preserve"> </v>
      </c>
      <c r="AM164" s="44" t="str">
        <f ca="1">IF(AM9&gt;WEEKNUM(TODAY())," ", IF(AND(AM10="x",SUM($AD163:AM163)&gt;$AD161),P9-(SUM($AD163:AM163)/SUM($AD161:$BG161)),IF(SUM($AD163:AM163)&gt;=$AD161," ",P9-(SUM($AD163:AM163)/(SUM($AD161:$BG161))))))</f>
        <v xml:space="preserve"> </v>
      </c>
      <c r="AN164" s="44" t="str">
        <f ca="1">IF(AN9&gt;WEEKNUM(TODAY())," ", IF(AND(AN10="x",SUM($AD163:AN163)&gt;$AD161),Q9-(SUM($AD163:AN163)/SUM($AD161:$BG161)),IF(SUM($AD163:AN163)&gt;=$AD161," ",Q9-(SUM($AD163:AN163)/(SUM($AD161:$BG161))))))</f>
        <v xml:space="preserve"> </v>
      </c>
      <c r="AO164" s="44" t="str">
        <f ca="1">IF(AO9&gt;WEEKNUM(TODAY())," ", IF(AND(AO10="x",SUM($AD163:AO163)&gt;$AD161),R9-(SUM($AD163:AO163)/SUM($AD161:$BG161)),IF(SUM($AD163:AO163)&gt;=$AD161," ",R9-(SUM($AD163:AO163)/(SUM($AD161:$BG161))))))</f>
        <v xml:space="preserve"> </v>
      </c>
      <c r="AP164" s="44" t="str">
        <f ca="1">IF(AP9&gt;WEEKNUM(TODAY())," ", IF(AND(AP10="x",SUM($AD163:AP163)&gt;$AD161),S9-(SUM($AD163:AP163)/SUM($AD161:$BG161)),IF(SUM($AD163:AP163)&gt;=$AD161," ",S9-(SUM($AD163:AP163)/(SUM($AD161:$BG161))))))</f>
        <v xml:space="preserve"> </v>
      </c>
      <c r="AQ164" s="44" t="str">
        <f ca="1">IF(AQ9&gt;WEEKNUM(TODAY())," ", IF(AND(AQ10="x",SUM($AD163:AQ163)&gt;$AD161),T9-(SUM($AD163:AQ163)/SUM($AD161:$BG161)),IF(SUM($AD163:AQ163)&gt;=$AD161," ",T9-(SUM($AD163:AQ163)/(SUM($AD161:$BG161))))))</f>
        <v xml:space="preserve"> </v>
      </c>
      <c r="AR164" s="44" t="str">
        <f ca="1">IF(AR9&gt;WEEKNUM(TODAY())," ", IF(AND(AR10="x",SUM($AD163:AR163)&gt;$AD161),U9-(SUM($AD163:AR163)/SUM($AD161:$BG161)),IF(SUM($AD163:AR163)&gt;=$AD161," ",U9-(SUM($AD163:AR163)/(SUM($AD161:$BG161))))))</f>
        <v xml:space="preserve"> </v>
      </c>
      <c r="AS164" s="44" t="str">
        <f ca="1">IF(AS9&gt;WEEKNUM(TODAY())," ", IF(AND(AS10="x",SUM($AD163:AS163)&gt;$AD161),V9-(SUM($AD163:AS163)/SUM($AD161:$BG161)),IF(SUM($AD163:AS163)&gt;=$AD161," ",V9-(SUM($AD163:AS163)/(SUM($AD161:$BG161))))))</f>
        <v xml:space="preserve"> </v>
      </c>
      <c r="AT164" s="44" t="str">
        <f ca="1">IF(AT9&gt;WEEKNUM(TODAY())," ", IF(AND(AT10="x",SUM($AD163:AT163)&gt;$AD161),W9-(SUM($AD163:AT163)/SUM($AD161:$BG161)),IF(SUM($AD163:AT163)&gt;=$AD161," ",W9-(SUM($AD163:AT163)/(SUM($AD161:$BG161))))))</f>
        <v xml:space="preserve"> </v>
      </c>
      <c r="AU164" s="44" t="str">
        <f ca="1">IF(AU9&gt;WEEKNUM(TODAY())," ", IF(AND(AU10="x",SUM($AD163:AU163)&gt;$AD161),X9-(SUM($AD163:AU163)/SUM($AD161:$BG161)),IF(SUM($AD163:AU163)&gt;=$AD161," ",X9-(SUM($AD163:AU163)/(SUM($AD161:$BG161))))))</f>
        <v xml:space="preserve"> </v>
      </c>
      <c r="AV164" s="44" t="str">
        <f ca="1">IF(AV9&gt;WEEKNUM(TODAY())," ", IF(AND(AV10="x",SUM($AD163:AV163)&gt;$AD161),Y9-(SUM($AD163:AV163)/SUM($AD161:$BG161)),IF(SUM($AD163:AV163)&gt;=$AD161," ",Y9-(SUM($AD163:AV163)/(SUM($AD161:$BG161))))))</f>
        <v xml:space="preserve"> </v>
      </c>
      <c r="AW164" s="44" t="str">
        <f ca="1">IF(AW9&gt;WEEKNUM(TODAY())," ", IF(AND(AW10="x",SUM($AD163:AW163)&gt;$AD161),Z9-(SUM($AD163:AW163)/SUM($AD161:$BG161)),IF(SUM($AD163:AW163)&gt;=$AD161," ",Z9-(SUM($AD163:AW163)/(SUM($AD161:$BG161))))))</f>
        <v xml:space="preserve"> </v>
      </c>
      <c r="AX164" s="44" t="str">
        <f ca="1">IF(AX9&gt;WEEKNUM(TODAY())," ", IF(AND(AX10="x",SUM($AD163:AX163)&gt;$AD161),AA9-(SUM($AD163:AX163)/SUM($AD161:$BG161)),IF(SUM($AD163:AX163)&gt;=$AD161," ",AA9-(SUM($AD163:AX163)/(SUM($AD161:$BG161))))))</f>
        <v xml:space="preserve"> </v>
      </c>
      <c r="AY164" s="44" t="str">
        <f ca="1">IF(AY9&gt;WEEKNUM(TODAY())," ", IF(AND(AY10="x",SUM($AD163:AY163)&gt;$AD161),AB9-(SUM($AD163:AY163)/SUM($AD161:$BG161)),IF(SUM($AD163:AY163)&gt;=$AD161," ",AB9-(SUM($AD163:AY163)/(SUM($AD161:$BG161))))))</f>
        <v xml:space="preserve"> </v>
      </c>
      <c r="AZ164" s="44" t="str">
        <f ca="1">IF(AZ9&gt;WEEKNUM(TODAY())," ", IF(AND(AZ10="x",SUM($AD163:AZ163)&gt;$AD161),AC9-(SUM($AD163:AZ163)/SUM($AD161:$BG161)),IF(SUM($AD163:AZ163)&gt;=$AD161," ",AC9-(SUM($AD163:AZ163)/(SUM($AD161:$BG161))))))</f>
        <v xml:space="preserve"> </v>
      </c>
      <c r="BA164" s="44" t="str">
        <f ca="1">IF(BA9&gt;WEEKNUM(TODAY())," ", IF(AND(BA10="x",SUM($AD163:BA163)&gt;$AD161),AD9-(SUM($AD163:BA163)/SUM($AD161:$BG161)),IF(SUM($AD163:BA163)&gt;=$AD161," ",AD9-(SUM($AD163:BA163)/(SUM($AD161:$BG161))))))</f>
        <v xml:space="preserve"> </v>
      </c>
      <c r="BB164" s="44" t="str">
        <f ca="1">IF(BB9&gt;WEEKNUM(TODAY())," ", IF(AND(BB10="x",SUM($AD163:BB163)&gt;$AD161),AE9-(SUM($AD163:BB163)/SUM($AD161:$BG161)),IF(SUM($AD163:BB163)&gt;=$AD161," ",AE9-(SUM($AD163:BB163)/(SUM($AD161:$BG161))))))</f>
        <v xml:space="preserve"> </v>
      </c>
      <c r="BC164" s="44" t="str">
        <f ca="1">IF(BC9&gt;WEEKNUM(TODAY())," ", IF(AND(BC10="x",SUM($AD163:BC163)&gt;$AD161),AF9-(SUM($AD163:BC163)/SUM($AD161:$BG161)),IF(SUM($AD163:BC163)&gt;=$AD161," ",AF9-(SUM($AD163:BC163)/(SUM($AD161:$BG161))))))</f>
        <v xml:space="preserve"> </v>
      </c>
      <c r="BD164" s="44" t="str">
        <f ca="1">IF(BD9&gt;WEEKNUM(TODAY())," ", IF(AND(BD10="x",SUM($AD163:BD163)&gt;$AD161),AG9-(SUM($AD163:BD163)/SUM($AD161:$BG161)),IF(SUM($AD163:BD163)&gt;=$AD161," ",AG9-(SUM($AD163:BD163)/(SUM($AD161:$BG161))))))</f>
        <v xml:space="preserve"> </v>
      </c>
      <c r="BE164" s="44" t="str">
        <f ca="1">IF(BE9&gt;WEEKNUM(TODAY())," ", IF(AND(BE10="x",SUM($AD163:BE163)&gt;$AD161),AH9-(SUM($AD163:BE163)/SUM($AD161:$BG161)),IF(SUM($AD163:BE163)&gt;=$AD161," ",AH9-(SUM($AD163:BE163)/(SUM($AD161:$BG161))))))</f>
        <v xml:space="preserve"> </v>
      </c>
      <c r="BF164" s="44" t="str">
        <f ca="1">IF(BF9&gt;WEEKNUM(TODAY())," ", IF(AND(BF10="x",SUM($AD163:BF163)&gt;$AD161),AI9-(SUM($AD163:BF163)/SUM($AD161:$BG161)),IF(SUM($AD163:BF163)&gt;=$AD161," ",AI9-(SUM($AD163:BF163)/(SUM($AD161:$BG161))))))</f>
        <v xml:space="preserve"> </v>
      </c>
      <c r="BG164" s="44" t="str">
        <f ca="1">IF(BG9&gt;WEEKNUM(TODAY())," ", IF(AND(BG10="x",SUM($AD163:BG163)&gt;$AD161),AJ9-(SUM($AD163:BG163)/SUM($AD161:$BG161)),IF(SUM($AD163:BG163)&gt;=$AD161," ",AJ9-(SUM($AD163:BG163)/(SUM($AD161:$BG161))))))</f>
        <v xml:space="preserve"> </v>
      </c>
      <c r="BH164" s="21"/>
    </row>
    <row r="165" spans="2:60" ht="16.2" thickBot="1" x14ac:dyDescent="0.35">
      <c r="B165" s="70"/>
      <c r="C165" s="79"/>
      <c r="D165" s="84"/>
      <c r="E165" s="57"/>
      <c r="F165" s="117"/>
      <c r="H165" s="49" t="str">
        <f>IF(H161= " ", " ",IF(H163&gt;SUM($H161:$BG161), " N/A", IF(SUM($H163:$BG163)=SUM($H161:BG161), " ", IF(H163=SUM($H161:BG161), " ", "x"))))</f>
        <v>x</v>
      </c>
      <c r="I165" s="50" t="str">
        <f>IF(SUM($H163:I163) &gt; SUM($H161:I161),  " N/A", IF(SUM($H163:$BG163) = SUM($H161:$BH161),    " ",IF(I163 = SUM($H161:$BH161),  " ",   "x")))</f>
        <v>x</v>
      </c>
      <c r="J165" s="50" t="str">
        <f>IF(SUM($H163:J163) &gt; SUM($H161:J161),  " N/A", IF(SUM($H163:$BG163) = SUM($H161:$BH161),    " ",IF(J163 = SUM($H161:$BH161),  " ",   "x")))</f>
        <v>x</v>
      </c>
      <c r="K165" s="50" t="str">
        <f>IF(SUM($H163:K163) &gt; SUM($H161:K161),  " N/A", IF(SUM($H163:$BG163) = SUM($H161:$BH161),    " ",IF(K163 = SUM($H161:$BH161),  " ",   "x")))</f>
        <v>x</v>
      </c>
      <c r="L165" s="50" t="str">
        <f>IF(SUM($H163:L163) &gt; SUM($H161:L161),  " N/A", IF(SUM($H163:$BG163) = SUM($H131:$BH131),    " ",IF(L163 = SUM($H131:$BH131),  " ",   "x")))</f>
        <v>x</v>
      </c>
      <c r="M165" s="50" t="str">
        <f>IF(SUM($H163:M163) &gt; SUM($H161:M161),  " N/A", IF(SUM($H163:$BG163) = SUM($H131:$BH131),    " ",IF(M163 = SUM($H131:$BH131),  " ",   "x")))</f>
        <v>x</v>
      </c>
      <c r="N165" s="50" t="str">
        <f>IF(SUM($H163:N163) &gt; SUM($H161:N161),  " N/A", IF(SUM($H163:$BG163) = SUM($H131:$BH131),    " ",IF(N163 = SUM($H131:$BH131),  " ",   "x")))</f>
        <v>x</v>
      </c>
      <c r="O165" s="50" t="str">
        <f>IF(SUM($H163:O163) &gt; SUM($H161:O161),  " N/A", IF(SUM($H163:$BG163) = SUM($H131:$BH131),    " ",IF(O163 = SUM($H131:$BH131),  " ",   "x")))</f>
        <v>x</v>
      </c>
      <c r="P165" s="50" t="str">
        <f>IF(SUM($H163:P163) &gt; SUM($H161:P161),  " N/A", IF(SUM($H163:$BG163) = SUM($H131:$BH131),    " ",IF(P163 = SUM($H131:$BH131),  " ",   "x")))</f>
        <v>x</v>
      </c>
      <c r="Q165" s="50" t="str">
        <f>IF(SUM($H163:Q163) &gt; SUM($H161:Q161),  " N/A", IF(SUM($H163:$BG163) = SUM($H131:$BH131),    " ",IF(Q163 = SUM($H131:$BH131),  " ",   "x")))</f>
        <v>x</v>
      </c>
      <c r="R165" s="50" t="str">
        <f>IF(SUM($H163:R163) &gt; SUM($H161:R161),  " N/A", IF(SUM($H163:$BG163) = SUM($H131:$BH131),    " ",IF(R163 = SUM($H131:$BH131),  " ",   "x")))</f>
        <v>x</v>
      </c>
      <c r="S165" s="50" t="str">
        <f>IF(SUM($H163:S163) &gt; SUM($H161:S161),  " N/A", IF(SUM($H163:$BG163) = SUM($H131:$BH131),    " ",IF(S163 = SUM($H131:$BH131),  " ",   "x")))</f>
        <v>x</v>
      </c>
      <c r="T165" s="50" t="str">
        <f>IF(SUM($H163:T163) &gt; SUM($H161:T161),  " N/A", IF(SUM($H163:$BG163) = SUM($H131:$BH131),    " ",IF(T163 = SUM($H131:$BH131),  " ",   "x")))</f>
        <v>x</v>
      </c>
      <c r="U165" s="50" t="str">
        <f>IF(SUM($H163:U163) &gt; SUM($H161:U161),  " N/A", IF(SUM($H163:$BG163) = SUM($H131:$BH131),    " ",IF(U163 = SUM($H131:$BH131),  " ",   "x")))</f>
        <v>x</v>
      </c>
      <c r="V165" s="50" t="str">
        <f>IF(SUM($H163:V163) &gt; SUM($H161:V161),  " N/A", IF(SUM($H163:$BG163) = SUM($H131:$BH131),    " ",IF(V163 = SUM($H131:$BH131),  " ",   "x")))</f>
        <v>x</v>
      </c>
      <c r="W165" s="50" t="str">
        <f>IF(SUM($H163:W163) &gt; SUM($H161:W161),  " N/A", IF(SUM($H163:$BG163) = SUM($H131:$BH131),    " ",IF(W163 = SUM($H131:$BH131),  " ",   "x")))</f>
        <v>x</v>
      </c>
      <c r="X165" s="50" t="str">
        <f>IF(SUM($H163:X163) &gt; SUM($H161:X161),  " N/A", IF(SUM($H163:$BG163) = SUM($H131:$BH131),    " ",IF(X163 = SUM($H131:$BH131),  " ",   "x")))</f>
        <v>x</v>
      </c>
      <c r="Y165" s="50" t="str">
        <f>IF(SUM($H163:Y163) &gt; SUM($H161:Y161),  " N/A", IF(SUM($H163:$BG163) = SUM($H131:$BH131),    " ",IF(Y163 = SUM($H131:$BH131),  " ",   "x")))</f>
        <v>x</v>
      </c>
      <c r="Z165" s="50" t="str">
        <f>IF(SUM($H163:Z163) &gt; SUM($H161:Z161),  " N/A", IF(SUM($H163:$BG163) = SUM($H131:$BH131),    " ",IF(Z163 = SUM($H131:$BH131),  " ",   "x")))</f>
        <v>x</v>
      </c>
      <c r="AA165" s="50" t="str">
        <f>IF(SUM($H163:AA163) &gt; SUM($H161:AA161),  " N/A", IF(SUM($H163:$BG163) = SUM($H131:$BH131),    " ",IF(AA163 = SUM($H131:$BH131),  " ",   "x")))</f>
        <v>x</v>
      </c>
      <c r="AB165" s="50" t="str">
        <f>IF(SUM($H163:AB163) &gt; SUM($H161:AB161),  " N/A", IF(SUM($H163:$BG163) = SUM($H131:$BH131),    " ",IF(AB163 = SUM($H131:$BH131),  " ",   "x")))</f>
        <v>x</v>
      </c>
      <c r="AC165" s="50" t="str">
        <f>IF(SUM($H163:AC163) &gt; SUM($H161:AC161),  " N/A", IF(SUM($H163:$BG163) = SUM($H131:$BH131),    " ",IF(AC163 = SUM($H131:$BH131),  " ",   "x")))</f>
        <v>x</v>
      </c>
      <c r="AD165" s="50" t="str">
        <f>IF(SUM($H163:AD163) &gt; SUM($H161:AD161),  " N/A", IF(SUM($H163:$BG163) = SUM($H131:$BH131),    " ",IF(AD163 = SUM($H131:$BH131),  " ",   "x")))</f>
        <v>x</v>
      </c>
      <c r="AE165" s="50" t="str">
        <f>IF(SUM($H163:AE163) &gt; SUM($H161:AE161),  " N/A", IF(SUM($H163:$BG163) = SUM($H131:$BH131),    " ",IF(AE163 = SUM($H131:$BH131),  " ",   "x")))</f>
        <v>x</v>
      </c>
      <c r="AF165" s="50" t="str">
        <f>IF(SUM($H163:AF163) &gt; SUM($H161:AF161),  " N/A", IF(SUM($H163:$BG163) = SUM($H131:$BH131),    " ",IF(AF163 = SUM($H131:$BH131),  " ",   "x")))</f>
        <v>x</v>
      </c>
      <c r="AG165" s="50" t="str">
        <f>IF(SUM($H163:AG163) &gt; SUM($H161:AG161),  " N/A", IF(SUM($H163:$BG163) = SUM($H131:$BH131),    " ",IF(AG163 = SUM($H131:$BH131),  " ",   "x")))</f>
        <v>x</v>
      </c>
      <c r="AH165" s="50" t="str">
        <f>IF(SUM($H163:AH163) &gt; SUM($H161:AH161),  " N/A", IF(SUM($H163:$BG163) = SUM($H131:$BH131),    " ",IF(AH163 = SUM($H131:$BH131),  " ",   "x")))</f>
        <v>x</v>
      </c>
      <c r="AI165" s="50" t="str">
        <f>IF(SUM($H163:AI163) &gt; SUM($H161:AI161),  " N/A", IF(SUM($H163:$BG163) = SUM($H131:$BH131),    " ",IF(AI163 = SUM($H131:$BH131),  " ",   "x")))</f>
        <v>x</v>
      </c>
      <c r="AJ165" s="50" t="str">
        <f>IF(SUM($H163:AJ163) &gt; SUM($H161:AJ161),  " N/A", IF(SUM($H163:$BG163) = SUM($H131:$BH131),    " ",IF(AJ163 = SUM($H131:$BH131),  " ",   "x")))</f>
        <v>x</v>
      </c>
      <c r="AK165" s="50" t="str">
        <f>IF(SUM($H163:AK163) &gt; SUM($H161:AK161),  " N/A", IF(SUM($H163:$BG163) = SUM($H131:$BH131),    " ",IF(AK163 = SUM($H131:$BH131),  " ",   "x")))</f>
        <v>x</v>
      </c>
      <c r="AL165" s="50" t="str">
        <f>IF(SUM($H163:AL163) &gt; SUM($H161:AL161),  " N/A", IF(SUM($H163:$BG163) = SUM($H131:$BH131),    " ",IF(AL163 = SUM($H131:$BH131),  " ",   "x")))</f>
        <v>x</v>
      </c>
      <c r="AM165" s="50" t="str">
        <f>IF(SUM($H163:AM163) &gt; SUM($H161:AM161),  " N/A", IF(SUM($H163:$BG163) = SUM($H131:$BH131),    " ",IF(AM163 = SUM($H131:$BH131),  " ",   "x")))</f>
        <v>x</v>
      </c>
      <c r="AN165" s="50" t="str">
        <f>IF(SUM($H163:AN163) &gt; SUM($H161:AN161),  " N/A", IF(SUM($H163:$BG163) = SUM($H131:$BH131),    " ",IF(AN163 = SUM($H131:$BH131),  " ",   "x")))</f>
        <v>x</v>
      </c>
      <c r="AO165" s="50" t="str">
        <f>IF(SUM($H163:AO163) &gt; SUM($H161:AO161),  " N/A", IF(SUM($H163:$BG163) = SUM($H131:$BH131),    " ",IF(AO163 = SUM($H131:$BH131),  " ",   "x")))</f>
        <v>x</v>
      </c>
      <c r="AP165" s="50" t="str">
        <f>IF(SUM($H163:AP163) &gt; SUM($H161:AP161),  " N/A", IF(SUM($H163:$BG163) = SUM($H131:$BH131),    " ",IF(AP163 = SUM($H131:$BH131),  " ",   "x")))</f>
        <v>x</v>
      </c>
      <c r="AQ165" s="50" t="str">
        <f>IF(SUM($H163:AQ163) &gt; SUM($H161:AQ161),  " N/A", IF(SUM($H163:$BG163) = SUM($H131:$BH131),    " ",IF(AQ163 = SUM($H131:$BH131),  " ",   "x")))</f>
        <v>x</v>
      </c>
      <c r="AR165" s="50" t="str">
        <f>IF(SUM($H163:AR163) &gt; SUM($H161:AR161),  " N/A", IF(SUM($H163:$BG163) = SUM($H131:$BH131),    " ",IF(AR163 = SUM($H131:$BH131),  " ",   "x")))</f>
        <v>x</v>
      </c>
      <c r="AS165" s="50" t="str">
        <f>IF(SUM($H163:AS163) &gt; SUM($H161:AS161),  " N/A", IF(SUM($H163:$BG163) = SUM($H131:$BH131),    " ",IF(AS163 = SUM($H131:$BH131),  " ",   "x")))</f>
        <v>x</v>
      </c>
      <c r="AT165" s="50" t="str">
        <f>IF(SUM($H163:AT163) &gt; SUM($H161:AT161),  " N/A", IF(SUM($H163:$BG163) = SUM($H131:$BH131),    " ",IF(AT163 = SUM($H131:$BH131),  " ",   "x")))</f>
        <v>x</v>
      </c>
      <c r="AU165" s="50" t="str">
        <f>IF(SUM($H163:AU163) &gt; SUM($H161:AU161),  " N/A", IF(SUM($H163:$BG163) = SUM($H131:$BH131),    " ",IF(AU163 = SUM($H131:$BH131),  " ",   "x")))</f>
        <v>x</v>
      </c>
      <c r="AV165" s="50" t="str">
        <f>IF(SUM($H163:AV163) &gt; SUM($H161:AV161),  " N/A", IF(SUM($H163:$BG163) = SUM($H131:$BH131),    " ",IF(AV163 = SUM($H131:$BH131),  " ",   "x")))</f>
        <v>x</v>
      </c>
      <c r="AW165" s="50" t="str">
        <f>IF(SUM($H163:AW163) &gt; SUM($H161:AW161),  " N/A", IF(SUM($H163:$BG163) = SUM($H131:$BH131),    " ",IF(AW163 = SUM($H131:$BH131),  " ",   "x")))</f>
        <v>x</v>
      </c>
      <c r="AX165" s="50" t="str">
        <f>IF(SUM($H163:AX163) &gt; SUM($H161:AX161),  " N/A", IF(SUM($H163:$BG163) = SUM($H131:$BH131),    " ",IF(AX163 = SUM($H131:$BH131),  " ",   "x")))</f>
        <v>x</v>
      </c>
      <c r="AY165" s="50" t="str">
        <f>IF(SUM($H163:AY163) &gt; SUM($H161:AY161),  " N/A", IF(SUM($H163:$BG163) = SUM($H131:$BH131),    " ",IF(AY163 = SUM($H131:$BH131),  " ",   "x")))</f>
        <v>x</v>
      </c>
      <c r="AZ165" s="50" t="str">
        <f>IF(SUM($H163:AZ163) &gt; SUM($H161:AZ161),  " N/A", IF(SUM($H163:$BG163) = SUM($H131:$BH131),    " ",IF(AZ163 = SUM($H131:$BH131),  " ",   "x")))</f>
        <v>x</v>
      </c>
      <c r="BA165" s="50" t="str">
        <f>IF(SUM($H163:BA163) &gt; SUM($H161:BA161),  " N/A", IF(SUM($H163:$BG163) = SUM($H131:$BH131),    " ",IF(BA163 = SUM($H131:$BH131),  " ",   "x")))</f>
        <v>x</v>
      </c>
      <c r="BB165" s="50" t="str">
        <f>IF(SUM($H163:BB163) &gt; SUM($H161:BB161),  " N/A", IF(SUM($H163:$BG163) = SUM($H131:$BH131),    " ",IF(BB163 = SUM($H131:$BH131),  " ",   "x")))</f>
        <v>x</v>
      </c>
      <c r="BC165" s="50" t="str">
        <f>IF(SUM($H163:BC163) &gt; SUM($H161:BC161),  " N/A", IF(SUM($H163:$BG163) = SUM($H131:$BH131),    " ",IF(BC163 = SUM($H131:$BH131),  " ",   "x")))</f>
        <v>x</v>
      </c>
      <c r="BD165" s="50" t="str">
        <f>IF(SUM($H163:BD163) &gt; SUM($H161:BD161),  " N/A", IF(SUM($H163:$BG163) = SUM($H131:$BH131),    " ",IF(BD163 = SUM($H131:$BH131),  " ",   "x")))</f>
        <v>x</v>
      </c>
      <c r="BE165" s="50" t="str">
        <f>IF(SUM($H163:BE163) &gt; SUM($H161:BE161),  " N/A", IF(SUM($H163:$BG163) = SUM($H131:$BH131),    " ",IF(BE163 = SUM($H131:$BH131),  " ",   "x")))</f>
        <v>x</v>
      </c>
      <c r="BF165" s="50" t="str">
        <f>IF(SUM($H163:BF163) &gt; SUM($H161:BF161),  " N/A", IF(SUM($H163:$BG163) = SUM($H131:$BH131),    " ",IF(BF163 = SUM($H131:$BH131),  " ",   "x")))</f>
        <v>x</v>
      </c>
      <c r="BG165" s="50" t="str">
        <f>IF(SUM($H163:BG163) &gt; SUM($H161:BG161),  " N/A", IF(SUM($H163:$BG163) = SUM($H131:$BH131),    " ",IF(BG163 = SUM($H131:$BH131),  " ",   "x")))</f>
        <v>x</v>
      </c>
      <c r="BH165" s="21"/>
    </row>
    <row r="166" spans="2:60" ht="15.6" x14ac:dyDescent="0.3">
      <c r="B166" s="71"/>
      <c r="C166" s="77"/>
      <c r="D166" s="82" t="s">
        <v>249</v>
      </c>
      <c r="E166" s="54">
        <f>SUM(H166:BG166)</f>
        <v>16</v>
      </c>
      <c r="F166" s="115">
        <f>Gant_24!$E166-E168</f>
        <v>16</v>
      </c>
      <c r="H166" s="41"/>
      <c r="I166" s="42"/>
      <c r="J166" s="42"/>
      <c r="K166" s="42"/>
      <c r="L166" s="51"/>
      <c r="M166" s="51"/>
      <c r="N166" s="51"/>
      <c r="O166" s="51"/>
      <c r="P166" s="51"/>
      <c r="Q166" s="51"/>
      <c r="R166" s="51"/>
      <c r="S166" s="51"/>
      <c r="T166" s="51"/>
      <c r="U166" s="51"/>
      <c r="V166" s="51"/>
      <c r="W166" s="51"/>
      <c r="X166" s="51"/>
      <c r="Y166" s="51"/>
      <c r="Z166" s="51"/>
      <c r="AA166" s="51"/>
      <c r="AB166" s="51"/>
      <c r="AC166" s="51"/>
      <c r="AD166" s="51">
        <v>16</v>
      </c>
      <c r="AE166" s="51"/>
      <c r="AF166" s="51"/>
      <c r="AG166" s="51"/>
      <c r="AH166" s="51"/>
      <c r="AI166" s="51"/>
      <c r="AJ166" s="51"/>
      <c r="AK166" s="51"/>
      <c r="AL166" s="51"/>
      <c r="AM166" s="51"/>
      <c r="AN166" s="51"/>
      <c r="AO166" s="51"/>
      <c r="AP166" s="51"/>
      <c r="AQ166" s="51"/>
      <c r="AR166" s="51"/>
      <c r="AS166" s="51"/>
      <c r="AT166" s="51"/>
      <c r="AU166" s="51"/>
      <c r="AV166" s="51"/>
      <c r="AW166" s="51"/>
      <c r="AX166" s="51"/>
      <c r="AY166" s="51"/>
      <c r="AZ166" s="51"/>
      <c r="BA166" s="51"/>
      <c r="BB166" s="51"/>
      <c r="BC166" s="51"/>
      <c r="BD166" s="51"/>
      <c r="BE166" s="51"/>
      <c r="BF166" s="51"/>
      <c r="BG166" s="51"/>
      <c r="BH166" s="21"/>
    </row>
    <row r="167" spans="2:60" ht="15.6" x14ac:dyDescent="0.3">
      <c r="B167" s="68"/>
      <c r="C167" s="78"/>
      <c r="D167" s="83" t="s">
        <v>261</v>
      </c>
      <c r="E167" s="55">
        <f>SUM(H167:BG167)</f>
        <v>0</v>
      </c>
      <c r="F167" s="116"/>
      <c r="H167" s="43"/>
      <c r="I167" s="44"/>
      <c r="J167" s="44"/>
      <c r="K167" s="44"/>
      <c r="L167" s="50"/>
      <c r="M167" s="50"/>
      <c r="N167" s="50"/>
      <c r="O167" s="50"/>
      <c r="P167" s="50"/>
      <c r="Q167" s="50"/>
      <c r="R167" s="50"/>
      <c r="S167" s="50"/>
      <c r="T167" s="50"/>
      <c r="U167" s="50"/>
      <c r="V167" s="50"/>
      <c r="W167" s="50"/>
      <c r="X167" s="50"/>
      <c r="Y167" s="50"/>
      <c r="Z167" s="50"/>
      <c r="AA167" s="50"/>
      <c r="AB167" s="50"/>
      <c r="AC167" s="50"/>
      <c r="AD167" s="50"/>
      <c r="AE167" s="50"/>
      <c r="AF167" s="50"/>
      <c r="AG167" s="50"/>
      <c r="AH167" s="50"/>
      <c r="AI167" s="50"/>
      <c r="AJ167" s="50"/>
      <c r="AK167" s="50"/>
      <c r="AL167" s="50"/>
      <c r="AM167" s="50"/>
      <c r="AN167" s="50"/>
      <c r="AO167" s="50"/>
      <c r="AP167" s="50"/>
      <c r="AQ167" s="50"/>
      <c r="AR167" s="50"/>
      <c r="AS167" s="50"/>
      <c r="AT167" s="50"/>
      <c r="AU167" s="50"/>
      <c r="AV167" s="50"/>
      <c r="AW167" s="50"/>
      <c r="AX167" s="50"/>
      <c r="AY167" s="50"/>
      <c r="AZ167" s="50"/>
      <c r="BA167" s="50"/>
      <c r="BB167" s="50"/>
      <c r="BC167" s="50"/>
      <c r="BD167" s="50"/>
      <c r="BE167" s="50"/>
      <c r="BF167" s="50"/>
      <c r="BG167" s="50"/>
      <c r="BH167" s="21"/>
    </row>
    <row r="168" spans="2:60" ht="15.6" x14ac:dyDescent="0.3">
      <c r="B168" s="68" t="s">
        <v>149</v>
      </c>
      <c r="C168" s="78" t="s">
        <v>150</v>
      </c>
      <c r="D168" s="83" t="s">
        <v>241</v>
      </c>
      <c r="E168" s="55">
        <f>SUM(H168:BG168)</f>
        <v>0</v>
      </c>
      <c r="F168" s="116"/>
      <c r="H168" s="45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  <c r="AO168" s="46"/>
      <c r="AP168" s="46"/>
      <c r="AQ168" s="46"/>
      <c r="AR168" s="46"/>
      <c r="AS168" s="46"/>
      <c r="AT168" s="46"/>
      <c r="AU168" s="46"/>
      <c r="AV168" s="46"/>
      <c r="AW168" s="46"/>
      <c r="AX168" s="46"/>
      <c r="AY168" s="46"/>
      <c r="AZ168" s="46"/>
      <c r="BA168" s="46"/>
      <c r="BB168" s="46"/>
      <c r="BC168" s="46"/>
      <c r="BD168" s="46"/>
      <c r="BE168" s="46"/>
      <c r="BF168" s="46"/>
      <c r="BG168" s="46"/>
      <c r="BH168" s="21"/>
    </row>
    <row r="169" spans="2:60" ht="15.6" x14ac:dyDescent="0.3">
      <c r="B169" s="68"/>
      <c r="C169" s="78"/>
      <c r="D169" s="83" t="s">
        <v>278</v>
      </c>
      <c r="E169" s="56">
        <f ca="1">MAX(H169:BG169)</f>
        <v>0</v>
      </c>
      <c r="F169" s="116"/>
      <c r="H169" s="47"/>
      <c r="I169" s="48"/>
      <c r="J169" s="48"/>
      <c r="K169" s="48"/>
      <c r="L169" s="50"/>
      <c r="M169" s="50"/>
      <c r="N169" s="50"/>
      <c r="O169" s="50"/>
      <c r="P169" s="50"/>
      <c r="Q169" s="50"/>
      <c r="R169" s="50"/>
      <c r="S169" s="50"/>
      <c r="T169" s="50"/>
      <c r="U169" s="50"/>
      <c r="V169" s="50"/>
      <c r="W169" s="50"/>
      <c r="X169" s="50"/>
      <c r="Y169" s="50"/>
      <c r="Z169" s="50"/>
      <c r="AA169" s="44"/>
      <c r="AB169" s="44"/>
      <c r="AC169" s="44"/>
      <c r="AD169" s="44" t="str">
        <f>IF(SUM(H166:BG166) = AD168, " 0 ", " ")</f>
        <v xml:space="preserve"> </v>
      </c>
      <c r="AE169" s="44" t="str">
        <f ca="1">IF(AE9&gt;WEEKNUM(TODAY())," ", IF(AND(AE10="x",SUM($AD168:AE168)&gt;$AD166),H9-(SUM($AD168:AE168)/SUM($AD166:$BG166)),IF(SUM($AD168:AE168)&gt;=$AD166," ",H9-(SUM($AD168:AE168)/(SUM($AD166:$BG166))))))</f>
        <v xml:space="preserve"> </v>
      </c>
      <c r="AF169" s="44" t="str">
        <f ca="1">IF(AF9&gt;WEEKNUM(TODAY())," ", IF(AND(AF10="x",SUM($AD168:AF168)&gt;$AD166),I9-(SUM($AD168:AF168)/SUM($AD166:$BG166)),IF(SUM($AD168:AF168)&gt;=$AD166," ",I9-(SUM($AD168:AF168)/(SUM($AD166:$BG166))))))</f>
        <v xml:space="preserve"> </v>
      </c>
      <c r="AG169" s="44" t="str">
        <f ca="1">IF(AG9&gt;WEEKNUM(TODAY())," ", IF(AND(AG10="x",SUM($AD168:AG168)&gt;$AD166),J9-(SUM($AD168:AG168)/SUM($AD166:$BG166)),IF(SUM($AD168:AG168)&gt;=$AD166," ",J9-(SUM($AD168:AG168)/(SUM($AD166:$BG166))))))</f>
        <v xml:space="preserve"> </v>
      </c>
      <c r="AH169" s="44" t="str">
        <f ca="1">IF(AH9&gt;WEEKNUM(TODAY())," ", IF(AND(AH10="x",SUM($AD168:AH168)&gt;$AD166),K9-(SUM($AD168:AH168)/SUM($AD166:$BG166)),IF(SUM($AD168:AH168)&gt;=$AD166," ",K9-(SUM($AD168:AH168)/(SUM($AD166:$BG166))))))</f>
        <v xml:space="preserve"> </v>
      </c>
      <c r="AI169" s="44" t="str">
        <f ca="1">IF(AI9&gt;WEEKNUM(TODAY())," ", IF(AND(AI10="x",SUM($AD168:AI168)&gt;$AD166),L9-(SUM($AD168:AI168)/SUM($AD166:$BG166)),IF(SUM($AD168:AI168)&gt;=$AD166," ",L9-(SUM($AD168:AI168)/(SUM($AD166:$BG166))))))</f>
        <v xml:space="preserve"> </v>
      </c>
      <c r="AJ169" s="44" t="str">
        <f ca="1">IF(AJ9&gt;WEEKNUM(TODAY())," ", IF(AND(AJ10="x",SUM($AD168:AJ168)&gt;$AD166),M9-(SUM($AD168:AJ168)/SUM($AD166:$BG166)),IF(SUM($AD168:AJ168)&gt;=$AD166," ",M9-(SUM($AD168:AJ168)/(SUM($AD166:$BG166))))))</f>
        <v xml:space="preserve"> </v>
      </c>
      <c r="AK169" s="44" t="str">
        <f ca="1">IF(AK9&gt;WEEKNUM(TODAY())," ", IF(AND(AK10="x",SUM($AD168:AK168)&gt;$AD166),N9-(SUM($AD168:AK168)/SUM($AD166:$BG166)),IF(SUM($AD168:AK168)&gt;=$AD166," ",N9-(SUM($AD168:AK168)/(SUM($AD166:$BG166))))))</f>
        <v xml:space="preserve"> </v>
      </c>
      <c r="AL169" s="44" t="str">
        <f ca="1">IF(AL9&gt;WEEKNUM(TODAY())," ", IF(AND(AL10="x",SUM($AD168:AL168)&gt;$AD166),O9-(SUM($AD168:AL168)/SUM($AD166:$BG166)),IF(SUM($AD168:AL168)&gt;=$AD166," ",O9-(SUM($AD168:AL168)/(SUM($AD166:$BG166))))))</f>
        <v xml:space="preserve"> </v>
      </c>
      <c r="AM169" s="44" t="str">
        <f ca="1">IF(AM9&gt;WEEKNUM(TODAY())," ", IF(AND(AM10="x",SUM($AD168:AM168)&gt;$AD166),P9-(SUM($AD168:AM168)/SUM($AD166:$BG166)),IF(SUM($AD168:AM168)&gt;=$AD166," ",P9-(SUM($AD168:AM168)/(SUM($AD166:$BG166))))))</f>
        <v xml:space="preserve"> </v>
      </c>
      <c r="AN169" s="44" t="str">
        <f ca="1">IF(AN9&gt;WEEKNUM(TODAY())," ", IF(AND(AN10="x",SUM($AD168:AN168)&gt;$AD166),Q9-(SUM($AD168:AN168)/SUM($AD166:$BG166)),IF(SUM($AD168:AN168)&gt;=$AD166," ",Q9-(SUM($AD168:AN168)/(SUM($AD166:$BG166))))))</f>
        <v xml:space="preserve"> </v>
      </c>
      <c r="AO169" s="44" t="str">
        <f ca="1">IF(AO9&gt;WEEKNUM(TODAY())," ", IF(AND(AO10="x",SUM($AD168:AO168)&gt;$AD166),R9-(SUM($AD168:AO168)/SUM($AD166:$BG166)),IF(SUM($AD168:AO168)&gt;=$AD166," ",R9-(SUM($AD168:AO168)/(SUM($AD166:$BG166))))))</f>
        <v xml:space="preserve"> </v>
      </c>
      <c r="AP169" s="44" t="str">
        <f ca="1">IF(AP9&gt;WEEKNUM(TODAY())," ", IF(AND(AP10="x",SUM($AD168:AP168)&gt;$AD166),S9-(SUM($AD168:AP168)/SUM($AD166:$BG166)),IF(SUM($AD168:AP168)&gt;=$AD166," ",S9-(SUM($AD168:AP168)/(SUM($AD166:$BG166))))))</f>
        <v xml:space="preserve"> </v>
      </c>
      <c r="AQ169" s="44" t="str">
        <f ca="1">IF(AQ9&gt;WEEKNUM(TODAY())," ", IF(AND(AQ10="x",SUM($AD168:AQ168)&gt;$AD166),T9-(SUM($AD168:AQ168)/SUM($AD166:$BG166)),IF(SUM($AD168:AQ168)&gt;=$AD166," ",T9-(SUM($AD168:AQ168)/(SUM($AD166:$BG166))))))</f>
        <v xml:space="preserve"> </v>
      </c>
      <c r="AR169" s="44" t="str">
        <f ca="1">IF(AR9&gt;WEEKNUM(TODAY())," ", IF(AND(AR10="x",SUM($AD168:AR168)&gt;$AD166),U9-(SUM($AD168:AR168)/SUM($AD166:$BG166)),IF(SUM($AD168:AR168)&gt;=$AD166," ",U9-(SUM($AD168:AR168)/(SUM($AD166:$BG166))))))</f>
        <v xml:space="preserve"> </v>
      </c>
      <c r="AS169" s="44" t="str">
        <f ca="1">IF(AS9&gt;WEEKNUM(TODAY())," ", IF(AND(AS10="x",SUM($AD168:AS168)&gt;$AD166),V9-(SUM($AD168:AS168)/SUM($AD166:$BG166)),IF(SUM($AD168:AS168)&gt;=$AD166," ",V9-(SUM($AD168:AS168)/(SUM($AD166:$BG166))))))</f>
        <v xml:space="preserve"> </v>
      </c>
      <c r="AT169" s="44" t="str">
        <f ca="1">IF(AT9&gt;WEEKNUM(TODAY())," ", IF(AND(AT10="x",SUM($AD168:AT168)&gt;$AD166),W9-(SUM($AD168:AT168)/SUM($AD166:$BG166)),IF(SUM($AD168:AT168)&gt;=$AD166," ",W9-(SUM($AD168:AT168)/(SUM($AD166:$BG166))))))</f>
        <v xml:space="preserve"> </v>
      </c>
      <c r="AU169" s="44" t="str">
        <f ca="1">IF(AU9&gt;WEEKNUM(TODAY())," ", IF(AND(AU10="x",SUM($AD168:AU168)&gt;$AD166),X9-(SUM($AD168:AU168)/SUM($AD166:$BG166)),IF(SUM($AD168:AU168)&gt;=$AD166," ",X9-(SUM($AD168:AU168)/(SUM($AD166:$BG166))))))</f>
        <v xml:space="preserve"> </v>
      </c>
      <c r="AV169" s="44" t="str">
        <f ca="1">IF(AV9&gt;WEEKNUM(TODAY())," ", IF(AND(AV10="x",SUM($AD168:AV168)&gt;$AD166),Y9-(SUM($AD168:AV168)/SUM($AD166:$BG166)),IF(SUM($AD168:AV168)&gt;=$AD166," ",Y9-(SUM($AD168:AV168)/(SUM($AD166:$BG166))))))</f>
        <v xml:space="preserve"> </v>
      </c>
      <c r="AW169" s="44" t="str">
        <f ca="1">IF(AW9&gt;WEEKNUM(TODAY())," ", IF(AND(AW10="x",SUM($AD168:AW168)&gt;$AD166),Z9-(SUM($AD168:AW168)/SUM($AD166:$BG166)),IF(SUM($AD168:AW168)&gt;=$AD166," ",Z9-(SUM($AD168:AW168)/(SUM($AD166:$BG166))))))</f>
        <v xml:space="preserve"> </v>
      </c>
      <c r="AX169" s="44" t="str">
        <f ca="1">IF(AX9&gt;WEEKNUM(TODAY())," ", IF(AND(AX10="x",SUM($AD168:AX168)&gt;$AD166),AA9-(SUM($AD168:AX168)/SUM($AD166:$BG166)),IF(SUM($AD168:AX168)&gt;=$AD166," ",AA9-(SUM($AD168:AX168)/(SUM($AD166:$BG166))))))</f>
        <v xml:space="preserve"> </v>
      </c>
      <c r="AY169" s="44" t="str">
        <f ca="1">IF(AY9&gt;WEEKNUM(TODAY())," ", IF(AND(AY10="x",SUM($AD168:AY168)&gt;$AD166),AB9-(SUM($AD168:AY168)/SUM($AD166:$BG166)),IF(SUM($AD168:AY168)&gt;=$AD166," ",AB9-(SUM($AD168:AY168)/(SUM($AD166:$BG166))))))</f>
        <v xml:space="preserve"> </v>
      </c>
      <c r="AZ169" s="44" t="str">
        <f ca="1">IF(AZ9&gt;WEEKNUM(TODAY())," ", IF(AND(AZ10="x",SUM($AD168:AZ168)&gt;$AD166),AC9-(SUM($AD168:AZ168)/SUM($AD166:$BG166)),IF(SUM($AD168:AZ168)&gt;=$AD166," ",AC9-(SUM($AD168:AZ168)/(SUM($AD166:$BG166))))))</f>
        <v xml:space="preserve"> </v>
      </c>
      <c r="BA169" s="44" t="str">
        <f ca="1">IF(BA9&gt;WEEKNUM(TODAY())," ", IF(AND(BA10="x",SUM($AD168:BA168)&gt;$AD166),AD9-(SUM($AD168:BA168)/SUM($AD166:$BG166)),IF(SUM($AD168:BA168)&gt;=$AD166," ",AD9-(SUM($AD168:BA168)/(SUM($AD166:$BG166))))))</f>
        <v xml:space="preserve"> </v>
      </c>
      <c r="BB169" s="44" t="str">
        <f ca="1">IF(BB9&gt;WEEKNUM(TODAY())," ", IF(AND(BB10="x",SUM($AD168:BB168)&gt;$AD166),AE9-(SUM($AD168:BB168)/SUM($AD166:$BG166)),IF(SUM($AD168:BB168)&gt;=$AD166," ",AE9-(SUM($AD168:BB168)/(SUM($AD166:$BG166))))))</f>
        <v xml:space="preserve"> </v>
      </c>
      <c r="BC169" s="44" t="str">
        <f ca="1">IF(BC9&gt;WEEKNUM(TODAY())," ", IF(AND(BC10="x",SUM($AD168:BC168)&gt;$AD166),AF9-(SUM($AD168:BC168)/SUM($AD166:$BG166)),IF(SUM($AD168:BC168)&gt;=$AD166," ",AF9-(SUM($AD168:BC168)/(SUM($AD166:$BG166))))))</f>
        <v xml:space="preserve"> </v>
      </c>
      <c r="BD169" s="44" t="str">
        <f ca="1">IF(BD9&gt;WEEKNUM(TODAY())," ", IF(AND(BD10="x",SUM($AD168:BD168)&gt;$AD166),AG9-(SUM($AD168:BD168)/SUM($AD166:$BG166)),IF(SUM($AD168:BD168)&gt;=$AD166," ",AG9-(SUM($AD168:BD168)/(SUM($AD166:$BG166))))))</f>
        <v xml:space="preserve"> </v>
      </c>
      <c r="BE169" s="44" t="str">
        <f ca="1">IF(BE9&gt;WEEKNUM(TODAY())," ", IF(AND(BE10="x",SUM($AD168:BE168)&gt;$AD166),AH9-(SUM($AD168:BE168)/SUM($AD166:$BG166)),IF(SUM($AD168:BE168)&gt;=$AD166," ",AH9-(SUM($AD168:BE168)/(SUM($AD166:$BG166))))))</f>
        <v xml:space="preserve"> </v>
      </c>
      <c r="BF169" s="44" t="str">
        <f ca="1">IF(BF9&gt;WEEKNUM(TODAY())," ", IF(AND(BF10="x",SUM($AD168:BF168)&gt;$AD166),AI9-(SUM($AD168:BF168)/SUM($AD166:$BG166)),IF(SUM($AD168:BF168)&gt;=$AD166," ",AI9-(SUM($AD168:BF168)/(SUM($AD166:$BG166))))))</f>
        <v xml:space="preserve"> </v>
      </c>
      <c r="BG169" s="44" t="str">
        <f ca="1">IF(BG9&gt;WEEKNUM(TODAY())," ", IF(AND(BG10="x",SUM($AD168:BG168)&gt;$AD166),AJ9-(SUM($AD168:BG168)/SUM($AD166:$BG166)),IF(SUM($AD168:BG168)&gt;=$AD166," ",AJ9-(SUM($AD168:BG168)/(SUM($AD166:$BG166))))))</f>
        <v xml:space="preserve"> </v>
      </c>
      <c r="BH169" s="21"/>
    </row>
    <row r="170" spans="2:60" ht="16.2" thickBot="1" x14ac:dyDescent="0.35">
      <c r="B170" s="70"/>
      <c r="C170" s="79"/>
      <c r="D170" s="84"/>
      <c r="E170" s="57"/>
      <c r="F170" s="117"/>
      <c r="H170" s="49" t="str">
        <f>IF(H166= " ", " ",IF(H168&gt;SUM($H166:$BG166), " N/A", IF(SUM($H168:$BG168)=SUM($H166:BG166), " ", IF(H168=SUM($H166:BG166), " ", "x"))))</f>
        <v>x</v>
      </c>
      <c r="I170" s="50" t="str">
        <f>IF(SUM($H168:I168) &gt; SUM($H166:I166),  " N/A", IF(SUM($H168:$BG168) = SUM($H166:$BH166),    " ",IF(I168 = SUM($H166:$BH166),  " ",   "x")))</f>
        <v>x</v>
      </c>
      <c r="J170" s="50" t="str">
        <f>IF(SUM($H168:J168) &gt; SUM($H166:J166),  " N/A", IF(SUM($H168:$BG168) = SUM($H166:$BH166),    " ",IF(J168 = SUM($H166:$BH166),  " ",   "x")))</f>
        <v>x</v>
      </c>
      <c r="K170" s="50" t="str">
        <f>IF(SUM($H168:K168) &gt; SUM($H166:K166),  " N/A", IF(SUM($H168:$BG168) = SUM($H166:$BH166),    " ",IF(K168 = SUM($H166:$BH166),  " ",   "x")))</f>
        <v>x</v>
      </c>
      <c r="L170" s="50" t="str">
        <f>IF(SUM($H168:L168) &gt; SUM($H166:L166),  " N/A", IF(SUM($H168:$BG168) = SUM($H166:$BH166),    " ",IF(L168 = SUM($H166:$BH166),  " ",   "x")))</f>
        <v>x</v>
      </c>
      <c r="M170" s="50" t="str">
        <f>IF(SUM($H168:M168) &gt; SUM($H166:M166),  " N/A", IF(SUM($H168:$BG168) = SUM($H166:$BH166),    " ",IF(M168 = SUM($H166:$BH166),  " ",   "x")))</f>
        <v>x</v>
      </c>
      <c r="N170" s="50" t="str">
        <f>IF(SUM($H168:N168) &gt; SUM($H166:N166),  " N/A", IF(SUM($H168:$BG168) = SUM($H166:$BH166),    " ",IF(N168 = SUM($H166:$BH166),  " ",   "x")))</f>
        <v>x</v>
      </c>
      <c r="O170" s="50" t="str">
        <f>IF(SUM($H168:O168) &gt; SUM($H166:O166),  " N/A", IF(SUM($H168:$BG168) = SUM($H166:$BH166),    " ",IF(O168 = SUM($H166:$BH166),  " ",   "x")))</f>
        <v>x</v>
      </c>
      <c r="P170" s="50" t="str">
        <f>IF(SUM($H168:P168) &gt; SUM($H166:P166),  " N/A", IF(SUM($H168:$BG168) = SUM($H166:$BH166),    " ",IF(P168 = SUM($H166:$BH166),  " ",   "x")))</f>
        <v>x</v>
      </c>
      <c r="Q170" s="50" t="str">
        <f>IF(SUM($H168:Q168) &gt; SUM($H166:Q166),  " N/A", IF(SUM($H168:$BG168) = SUM($H166:$BH166),    " ",IF(Q168 = SUM($H166:$BH166),  " ",   "x")))</f>
        <v>x</v>
      </c>
      <c r="R170" s="50" t="str">
        <f>IF(SUM($H168:R168) &gt; SUM($H166:R166),  " N/A", IF(SUM($H168:$BG168) = SUM($H166:$BH166),    " ",IF(R168 = SUM($H166:$BH166),  " ",   "x")))</f>
        <v>x</v>
      </c>
      <c r="S170" s="50" t="str">
        <f>IF(SUM($H168:S168) &gt; SUM($H166:S166),  " N/A", IF(SUM($H168:$BG168) = SUM($H166:$BH166),    " ",IF(S168 = SUM($H166:$BH166),  " ",   "x")))</f>
        <v>x</v>
      </c>
      <c r="T170" s="50" t="str">
        <f>IF(SUM($H168:T168) &gt; SUM($H166:T166),  " N/A", IF(SUM($H168:$BG168) = SUM($H166:$BH166),    " ",IF(T168 = SUM($H166:$BH166),  " ",   "x")))</f>
        <v>x</v>
      </c>
      <c r="U170" s="50" t="str">
        <f>IF(SUM($H168:U168) &gt; SUM($H166:U166),  " N/A", IF(SUM($H168:$BG168) = SUM($H166:$BH166),    " ",IF(U168 = SUM($H166:$BH166),  " ",   "x")))</f>
        <v>x</v>
      </c>
      <c r="V170" s="50" t="str">
        <f>IF(SUM($H168:V168) &gt; SUM($H166:V166),  " N/A", IF(SUM($H168:$BG168) = SUM($H166:$BH166),    " ",IF(V168 = SUM($H166:$BH166),  " ",   "x")))</f>
        <v>x</v>
      </c>
      <c r="W170" s="50" t="str">
        <f>IF(SUM($H168:W168) &gt; SUM($H166:W166),  " N/A", IF(SUM($H168:$BG168) = SUM($H166:$BH166),    " ",IF(W168 = SUM($H166:$BH166),  " ",   "x")))</f>
        <v>x</v>
      </c>
      <c r="X170" s="50" t="str">
        <f>IF(SUM($H168:X168) &gt; SUM($H166:X166),  " N/A", IF(SUM($H168:$BG168) = SUM($H166:$BH166),    " ",IF(X168 = SUM($H166:$BH166),  " ",   "x")))</f>
        <v>x</v>
      </c>
      <c r="Y170" s="50" t="str">
        <f>IF(SUM($H168:Y168) &gt; SUM($H166:Y166),  " N/A", IF(SUM($H168:$BG168) = SUM($H166:$BH166),    " ",IF(Y168 = SUM($H166:$BH166),  " ",   "x")))</f>
        <v>x</v>
      </c>
      <c r="Z170" s="50" t="str">
        <f>IF(SUM($H168:Z168) &gt; SUM($H166:Z166),  " N/A", IF(SUM($H168:$BG168) = SUM($H166:$BH166),    " ",IF(Z168 = SUM($H166:$BH166),  " ",   "x")))</f>
        <v>x</v>
      </c>
      <c r="AA170" s="50" t="str">
        <f>IF(SUM($H168:AA168) &gt; SUM($H166:AA166),  " N/A", IF(SUM($H168:$BG168) = SUM($H166:$BH166),    " ",IF(AA168 = SUM($H166:$BH166),  " ",   "x")))</f>
        <v>x</v>
      </c>
      <c r="AB170" s="50" t="str">
        <f>IF(SUM($H168:AB168) &gt; SUM($H166:AB166),  " N/A", IF(SUM($H168:$BG168) = SUM($H166:$BH166),    " ",IF(AB168 = SUM($H166:$BH166),  " ",   "x")))</f>
        <v>x</v>
      </c>
      <c r="AC170" s="50" t="str">
        <f>IF(SUM($H168:AC168) &gt; SUM($H166:AC166),  " N/A", IF(SUM($H168:$BG168) = SUM($H166:$BH166),    " ",IF(AC168 = SUM($H166:$BH166),  " ",   "x")))</f>
        <v>x</v>
      </c>
      <c r="AD170" s="50" t="str">
        <f>IF(SUM($H168:AD168) &gt; SUM($H166:AD166),  " N/A", IF(SUM($H168:$BG168) = SUM($H166:$BH166),    " ",IF(AD168 = SUM($H166:$BH166),  " ",   "x")))</f>
        <v>x</v>
      </c>
      <c r="AE170" s="50" t="str">
        <f>IF(SUM($H168:AE168) &gt; SUM($H166:AE166),  " N/A", IF(SUM($H168:$BG168) = SUM($H166:$BH166),    " ",IF(AE168 = SUM($H166:$BH166),  " ",   "x")))</f>
        <v>x</v>
      </c>
      <c r="AF170" s="50" t="str">
        <f>IF(SUM($H168:AF168) &gt; SUM($H166:AF166),  " N/A", IF(SUM($H168:$BG168) = SUM($H166:$BH166),    " ",IF(AF168 = SUM($H166:$BH166),  " ",   "x")))</f>
        <v>x</v>
      </c>
      <c r="AG170" s="50" t="str">
        <f>IF(SUM($H168:AG168) &gt; SUM($H166:AG166),  " N/A", IF(SUM($H168:$BG168) = SUM($H166:$BH166),    " ",IF(AG168 = SUM($H166:$BH166),  " ",   "x")))</f>
        <v>x</v>
      </c>
      <c r="AH170" s="50" t="str">
        <f>IF(SUM($H168:AH168) &gt; SUM($H166:AH166),  " N/A", IF(SUM($H168:$BG168) = SUM($H166:$BH166),    " ",IF(AH168 = SUM($H166:$BH166),  " ",   "x")))</f>
        <v>x</v>
      </c>
      <c r="AI170" s="50" t="str">
        <f>IF(SUM($H168:AI168) &gt; SUM($H166:AI166),  " N/A", IF(SUM($H168:$BG168) = SUM($H166:$BH166),    " ",IF(AI168 = SUM($H166:$BH166),  " ",   "x")))</f>
        <v>x</v>
      </c>
      <c r="AJ170" s="50" t="str">
        <f>IF(SUM($H168:AJ168) &gt; SUM($H166:AJ166),  " N/A", IF(SUM($H168:$BG168) = SUM($H166:$BH166),    " ",IF(AJ168 = SUM($H166:$BH166),  " ",   "x")))</f>
        <v>x</v>
      </c>
      <c r="AK170" s="50" t="str">
        <f>IF(SUM($H168:AK168) &gt; SUM($H166:AK166),  " N/A", IF(SUM($H168:$BG168) = SUM($H166:$BH166),    " ",IF(AK168 = SUM($H166:$BH166),  " ",   "x")))</f>
        <v>x</v>
      </c>
      <c r="AL170" s="50" t="str">
        <f>IF(SUM($H168:AL168) &gt; SUM($H166:AL166),  " N/A", IF(SUM($H168:$BG168) = SUM($H166:$BH166),    " ",IF(AL168 = SUM($H166:$BH166),  " ",   "x")))</f>
        <v>x</v>
      </c>
      <c r="AM170" s="50" t="str">
        <f>IF(SUM($H168:AM168) &gt; SUM($H166:AM166),  " N/A", IF(SUM($H168:$BG168) = SUM($H166:$BH166),    " ",IF(AM168 = SUM($H166:$BH166),  " ",   "x")))</f>
        <v>x</v>
      </c>
      <c r="AN170" s="50" t="str">
        <f>IF(SUM($H168:AN168) &gt; SUM($H166:AN166),  " N/A", IF(SUM($H168:$BG168) = SUM($H166:$BH166),    " ",IF(AN168 = SUM($H166:$BH166),  " ",   "x")))</f>
        <v>x</v>
      </c>
      <c r="AO170" s="50" t="str">
        <f>IF(SUM($H168:AO168) &gt; SUM($H166:AO166),  " N/A", IF(SUM($H168:$BG168) = SUM($H166:$BH166),    " ",IF(AO168 = SUM($H166:$BH166),  " ",   "x")))</f>
        <v>x</v>
      </c>
      <c r="AP170" s="50" t="str">
        <f>IF(SUM($H168:AP168) &gt; SUM($H166:AP166),  " N/A", IF(SUM($H168:$BG168) = SUM($H166:$BH166),    " ",IF(AP168 = SUM($H166:$BH166),  " ",   "x")))</f>
        <v>x</v>
      </c>
      <c r="AQ170" s="50" t="str">
        <f>IF(SUM($H168:AQ168) &gt; SUM($H166:AQ166),  " N/A", IF(SUM($H168:$BG168) = SUM($H166:$BH166),    " ",IF(AQ168 = SUM($H166:$BH166),  " ",   "x")))</f>
        <v>x</v>
      </c>
      <c r="AR170" s="50" t="str">
        <f>IF(SUM($H168:AR168) &gt; SUM($H166:AR166),  " N/A", IF(SUM($H168:$BG168) = SUM($H166:$BH166),    " ",IF(AR168 = SUM($H166:$BH166),  " ",   "x")))</f>
        <v>x</v>
      </c>
      <c r="AS170" s="50" t="str">
        <f>IF(SUM($H168:AS168) &gt; SUM($H166:AS166),  " N/A", IF(SUM($H168:$BG168) = SUM($H166:$BH166),    " ",IF(AS168 = SUM($H166:$BH166),  " ",   "x")))</f>
        <v>x</v>
      </c>
      <c r="AT170" s="50" t="str">
        <f>IF(SUM($H168:AT168) &gt; SUM($H166:AT166),  " N/A", IF(SUM($H168:$BG168) = SUM($H166:$BH166),    " ",IF(AT168 = SUM($H166:$BH166),  " ",   "x")))</f>
        <v>x</v>
      </c>
      <c r="AU170" s="50" t="str">
        <f>IF(SUM($H168:AU168) &gt; SUM($H166:AU166),  " N/A", IF(SUM($H168:$BG168) = SUM($H166:$BH166),    " ",IF(AU168 = SUM($H166:$BH166),  " ",   "x")))</f>
        <v>x</v>
      </c>
      <c r="AV170" s="50" t="str">
        <f>IF(SUM($H168:AV168) &gt; SUM($H166:AV166),  " N/A", IF(SUM($H168:$BG168) = SUM($H166:$BH166),    " ",IF(AV168 = SUM($H166:$BH166),  " ",   "x")))</f>
        <v>x</v>
      </c>
      <c r="AW170" s="50" t="str">
        <f>IF(SUM($H168:AW168) &gt; SUM($H166:AW166),  " N/A", IF(SUM($H168:$BG168) = SUM($H166:$BH166),    " ",IF(AW168 = SUM($H166:$BH166),  " ",   "x")))</f>
        <v>x</v>
      </c>
      <c r="AX170" s="50" t="str">
        <f>IF(SUM($H168:AX168) &gt; SUM($H166:AX166),  " N/A", IF(SUM($H168:$BG168) = SUM($H166:$BH166),    " ",IF(AX168 = SUM($H166:$BH166),  " ",   "x")))</f>
        <v>x</v>
      </c>
      <c r="AY170" s="50" t="str">
        <f>IF(SUM($H168:AY168) &gt; SUM($H166:AY166),  " N/A", IF(SUM($H168:$BG168) = SUM($H166:$BH166),    " ",IF(AY168 = SUM($H166:$BH166),  " ",   "x")))</f>
        <v>x</v>
      </c>
      <c r="AZ170" s="50" t="str">
        <f>IF(SUM($H168:AZ168) &gt; SUM($H166:AZ166),  " N/A", IF(SUM($H168:$BG168) = SUM($H166:$BH166),    " ",IF(AZ168 = SUM($H166:$BH166),  " ",   "x")))</f>
        <v>x</v>
      </c>
      <c r="BA170" s="50" t="str">
        <f>IF(SUM($H168:BA168) &gt; SUM($H166:BA166),  " N/A", IF(SUM($H168:$BG168) = SUM($H166:$BH166),    " ",IF(BA168 = SUM($H166:$BH166),  " ",   "x")))</f>
        <v>x</v>
      </c>
      <c r="BB170" s="50" t="str">
        <f>IF(SUM($H168:BB168) &gt; SUM($H166:BB166),  " N/A", IF(SUM($H168:$BG168) = SUM($H166:$BH166),    " ",IF(BB168 = SUM($H166:$BH166),  " ",   "x")))</f>
        <v>x</v>
      </c>
      <c r="BC170" s="50" t="str">
        <f>IF(SUM($H168:BC168) &gt; SUM($H166:BC166),  " N/A", IF(SUM($H168:$BG168) = SUM($H166:$BH166),    " ",IF(BC168 = SUM($H166:$BH166),  " ",   "x")))</f>
        <v>x</v>
      </c>
      <c r="BD170" s="50" t="str">
        <f>IF(SUM($H168:BD168) &gt; SUM($H166:BD166),  " N/A", IF(SUM($H168:$BG168) = SUM($H166:$BH166),    " ",IF(BD168 = SUM($H166:$BH166),  " ",   "x")))</f>
        <v>x</v>
      </c>
      <c r="BE170" s="50" t="str">
        <f>IF(SUM($H168:BE168) &gt; SUM($H166:BE166),  " N/A", IF(SUM($H168:$BG168) = SUM($H166:$BH166),    " ",IF(BE168 = SUM($H166:$BH166),  " ",   "x")))</f>
        <v>x</v>
      </c>
      <c r="BF170" s="50" t="str">
        <f>IF(SUM($H168:BF168) &gt; SUM($H166:BF166),  " N/A", IF(SUM($H168:$BG168) = SUM($H166:$BH166),    " ",IF(BF168 = SUM($H166:$BH166),  " ",   "x")))</f>
        <v>x</v>
      </c>
      <c r="BG170" s="50" t="str">
        <f>IF(SUM($H168:BG168) &gt; SUM($H166:BG166),  " N/A", IF(SUM($H168:$BG168) = SUM($H166:$BH166),    " ",IF(BG168 = SUM($H166:$BH166),  " ",   "x")))</f>
        <v>x</v>
      </c>
      <c r="BH170" s="21"/>
    </row>
    <row r="171" spans="2:60" ht="15.6" x14ac:dyDescent="0.3">
      <c r="B171" s="71"/>
      <c r="C171" s="77"/>
      <c r="D171" s="82" t="s">
        <v>249</v>
      </c>
      <c r="E171" s="54">
        <f>SUM(H171:BG171)</f>
        <v>24</v>
      </c>
      <c r="F171" s="115">
        <f>Gant_24!$E171-E173</f>
        <v>24</v>
      </c>
      <c r="H171" s="41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>
        <v>24</v>
      </c>
      <c r="AE171" s="51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42"/>
      <c r="BB171" s="42"/>
      <c r="BC171" s="42"/>
      <c r="BD171" s="42"/>
      <c r="BE171" s="42"/>
      <c r="BF171" s="42"/>
      <c r="BG171" s="42"/>
      <c r="BH171" s="21"/>
    </row>
    <row r="172" spans="2:60" ht="15.6" x14ac:dyDescent="0.3">
      <c r="B172" s="68"/>
      <c r="C172" s="78"/>
      <c r="D172" s="83" t="s">
        <v>261</v>
      </c>
      <c r="E172" s="55">
        <f>SUM(H172:BG172)</f>
        <v>24</v>
      </c>
      <c r="F172" s="116"/>
      <c r="H172" s="43"/>
      <c r="I172" s="44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  <c r="AA172" s="44"/>
      <c r="AB172" s="44"/>
      <c r="AC172" s="44"/>
      <c r="AD172" s="44"/>
      <c r="AE172" s="50"/>
      <c r="AF172" s="44"/>
      <c r="AG172" s="44">
        <v>8</v>
      </c>
      <c r="AH172" s="44">
        <v>8</v>
      </c>
      <c r="AI172" s="44">
        <v>8</v>
      </c>
      <c r="AJ172" s="44"/>
      <c r="AK172" s="44"/>
      <c r="AL172" s="44"/>
      <c r="AM172" s="44"/>
      <c r="AN172" s="44"/>
      <c r="AO172" s="44"/>
      <c r="AP172" s="44"/>
      <c r="AQ172" s="44"/>
      <c r="AR172" s="44"/>
      <c r="AS172" s="44"/>
      <c r="AT172" s="44"/>
      <c r="AU172" s="44"/>
      <c r="AV172" s="44"/>
      <c r="AW172" s="44"/>
      <c r="AX172" s="44"/>
      <c r="AY172" s="44"/>
      <c r="AZ172" s="44"/>
      <c r="BA172" s="44"/>
      <c r="BB172" s="44"/>
      <c r="BC172" s="44"/>
      <c r="BD172" s="44"/>
      <c r="BE172" s="44"/>
      <c r="BF172" s="44"/>
      <c r="BG172" s="44"/>
      <c r="BH172" s="21"/>
    </row>
    <row r="173" spans="2:60" ht="15.6" x14ac:dyDescent="0.3">
      <c r="B173" s="68" t="s">
        <v>152</v>
      </c>
      <c r="C173" s="78" t="s">
        <v>153</v>
      </c>
      <c r="D173" s="83" t="s">
        <v>241</v>
      </c>
      <c r="E173" s="55">
        <f>SUM(H173:BG173)</f>
        <v>0</v>
      </c>
      <c r="F173" s="116"/>
      <c r="H173" s="45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  <c r="AO173" s="46"/>
      <c r="AP173" s="46"/>
      <c r="AQ173" s="46"/>
      <c r="AR173" s="46"/>
      <c r="AS173" s="46"/>
      <c r="AT173" s="46"/>
      <c r="AU173" s="46"/>
      <c r="AV173" s="46"/>
      <c r="AW173" s="46"/>
      <c r="AX173" s="46"/>
      <c r="AY173" s="46"/>
      <c r="AZ173" s="46"/>
      <c r="BA173" s="46"/>
      <c r="BB173" s="46"/>
      <c r="BC173" s="46"/>
      <c r="BD173" s="46"/>
      <c r="BE173" s="46"/>
      <c r="BF173" s="46"/>
      <c r="BG173" s="46"/>
      <c r="BH173" s="21"/>
    </row>
    <row r="174" spans="2:60" ht="15.6" x14ac:dyDescent="0.3">
      <c r="B174" s="68"/>
      <c r="C174" s="78"/>
      <c r="D174" s="83" t="s">
        <v>278</v>
      </c>
      <c r="E174" s="56">
        <f ca="1">MAX(H174:BG174)</f>
        <v>0</v>
      </c>
      <c r="F174" s="116"/>
      <c r="H174" s="47"/>
      <c r="I174" s="48"/>
      <c r="J174" s="48"/>
      <c r="K174" s="48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  <c r="AA174" s="44"/>
      <c r="AB174" s="44"/>
      <c r="AC174" s="44"/>
      <c r="AD174" s="44" t="str">
        <f>IF(SUM(H171:BG171) = AD173, " 0 ", " ")</f>
        <v xml:space="preserve"> </v>
      </c>
      <c r="AE174" s="44" t="str">
        <f ca="1">IF(AE9&gt;WEEKNUM(TODAY())," ", IF(AND(AE10="x",SUM($AD173:AE173)&gt;$AD171),H9-(SUM($AD173:AE173)/SUM($AD171:$BG171)),IF(SUM($AD173:AE173)&gt;=$AD171," ",H9-(SUM($AD173:AE173)/(SUM($AD171:$BG171))))))</f>
        <v xml:space="preserve"> </v>
      </c>
      <c r="AF174" s="44" t="str">
        <f ca="1">IF(AF9&gt;WEEKNUM(TODAY())," ", IF(AND(AF10="x",SUM($AD173:AF173)&gt;$AD171),I9-(SUM($AD173:AF173)/SUM($AD171:$BG171)),IF(SUM($AD173:AF173)&gt;=$AD171," ",I9-(SUM($AD173:AF173)/(SUM($AD171:$BG171))))))</f>
        <v xml:space="preserve"> </v>
      </c>
      <c r="AG174" s="44" t="str">
        <f ca="1">IF(AG9&gt;WEEKNUM(TODAY())," ", IF(AND(AG10="x",SUM($AD173:AG173)&gt;$AD171),J9-(SUM($AD173:AG173)/SUM($AD171:$BG171)),IF(SUM($AD173:AG173)&gt;=$AD171," ",J9-(SUM($AD173:AG173)/(SUM($AD171:$BG171))))))</f>
        <v xml:space="preserve"> </v>
      </c>
      <c r="AH174" s="44" t="str">
        <f ca="1">IF(AH9&gt;WEEKNUM(TODAY())," ", IF(AND(AH10="x",SUM($AD173:AH173)&gt;$AD171),K9-(SUM($AD173:AH173)/SUM($AD171:$BG171)),IF(SUM($AD173:AH173)&gt;=$AD171," ",K9-(SUM($AD173:AH173)/(SUM($AD171:$BG171))))))</f>
        <v xml:space="preserve"> </v>
      </c>
      <c r="AI174" s="44" t="str">
        <f ca="1">IF(AI9&gt;WEEKNUM(TODAY())," ", IF(AND(AI10="x",SUM($AD173:AI173)&gt;$AD171),L9-(SUM($AD173:AI173)/SUM($AD171:$BG171)),IF(SUM($AD173:AI173)&gt;=$AD171," ",L9-(SUM($AD173:AI173)/(SUM($AD171:$BG171))))))</f>
        <v xml:space="preserve"> </v>
      </c>
      <c r="AJ174" s="44" t="str">
        <f ca="1">IF(AJ9&gt;WEEKNUM(TODAY())," ", IF(AND(AJ10="x",SUM($AD173:AJ173)&gt;$AD171),M9-(SUM($AD173:AJ173)/SUM($AD171:$BG171)),IF(SUM($AD173:AJ173)&gt;=$AD171," ",M9-(SUM($AD173:AJ173)/(SUM($AD171:$BG171))))))</f>
        <v xml:space="preserve"> </v>
      </c>
      <c r="AK174" s="44" t="str">
        <f ca="1">IF(AK9&gt;WEEKNUM(TODAY())," ", IF(AND(AK10="x",SUM($AD173:AK173)&gt;$AD171),N9-(SUM($AD173:AK173)/SUM($AD171:$BG171)),IF(SUM($AD173:AK173)&gt;=$AD171," ",N9-(SUM($AD173:AK173)/(SUM($AD171:$BG171))))))</f>
        <v xml:space="preserve"> </v>
      </c>
      <c r="AL174" s="44" t="str">
        <f ca="1">IF(AL9&gt;WEEKNUM(TODAY())," ", IF(AND(AL10="x",SUM($AD173:AL173)&gt;$AD171),O9-(SUM($AD173:AL173)/SUM($AD171:$BG171)),IF(SUM($AD173:AL173)&gt;=$AD171," ",O9-(SUM($AD173:AL173)/(SUM($AD171:$BG171))))))</f>
        <v xml:space="preserve"> </v>
      </c>
      <c r="AM174" s="44" t="str">
        <f ca="1">IF(AM9&gt;WEEKNUM(TODAY())," ", IF(AND(AM10="x",SUM($AD173:AM173)&gt;$AD171),P9-(SUM($AD173:AM173)/SUM($AD171:$BG171)),IF(SUM($AD173:AM173)&gt;=$AD171," ",P9-(SUM($AD173:AM173)/(SUM($AD171:$BG171))))))</f>
        <v xml:space="preserve"> </v>
      </c>
      <c r="AN174" s="44" t="str">
        <f ca="1">IF(AN9&gt;WEEKNUM(TODAY())," ", IF(AND(AN10="x",SUM($AD173:AN173)&gt;$AD171),Q9-(SUM($AD173:AN173)/SUM($AD171:$BG171)),IF(SUM($AD173:AN173)&gt;=$AD171," ",Q9-(SUM($AD173:AN173)/(SUM($AD171:$BG171))))))</f>
        <v xml:space="preserve"> </v>
      </c>
      <c r="AO174" s="44" t="str">
        <f ca="1">IF(AO9&gt;WEEKNUM(TODAY())," ", IF(AND(AO10="x",SUM($AD173:AO173)&gt;$AD171),R9-(SUM($AD173:AO173)/SUM($AD171:$BG171)),IF(SUM($AD173:AO173)&gt;=$AD171," ",R9-(SUM($AD173:AO173)/(SUM($AD171:$BG171))))))</f>
        <v xml:space="preserve"> </v>
      </c>
      <c r="AP174" s="44" t="str">
        <f ca="1">IF(AP9&gt;WEEKNUM(TODAY())," ", IF(AND(AP10="x",SUM($AD173:AP173)&gt;$AD171),S9-(SUM($AD173:AP173)/SUM($AD171:$BG171)),IF(SUM($AD173:AP173)&gt;=$AD171," ",S9-(SUM($AD173:AP173)/(SUM($AD171:$BG171))))))</f>
        <v xml:space="preserve"> </v>
      </c>
      <c r="AQ174" s="44" t="str">
        <f ca="1">IF(AQ9&gt;WEEKNUM(TODAY())," ", IF(AND(AQ10="x",SUM($AD173:AQ173)&gt;$AD171),T9-(SUM($AD173:AQ173)/SUM($AD171:$BG171)),IF(SUM($AD173:AQ173)&gt;=$AD171," ",T9-(SUM($AD173:AQ173)/(SUM($AD171:$BG171))))))</f>
        <v xml:space="preserve"> </v>
      </c>
      <c r="AR174" s="44" t="str">
        <f ca="1">IF(AR9&gt;WEEKNUM(TODAY())," ", IF(AND(AR10="x",SUM($AD173:AR173)&gt;$AD171),U9-(SUM($AD173:AR173)/SUM($AD171:$BG171)),IF(SUM($AD173:AR173)&gt;=$AD171," ",U9-(SUM($AD173:AR173)/(SUM($AD171:$BG171))))))</f>
        <v xml:space="preserve"> </v>
      </c>
      <c r="AS174" s="44" t="str">
        <f ca="1">IF(AS9&gt;WEEKNUM(TODAY())," ", IF(AND(AS10="x",SUM($AD173:AS173)&gt;$AD171),V9-(SUM($AD173:AS173)/SUM($AD171:$BG171)),IF(SUM($AD173:AS173)&gt;=$AD171," ",V9-(SUM($AD173:AS173)/(SUM($AD171:$BG171))))))</f>
        <v xml:space="preserve"> </v>
      </c>
      <c r="AT174" s="44" t="str">
        <f ca="1">IF(AT9&gt;WEEKNUM(TODAY())," ", IF(AND(AT10="x",SUM($AD173:AT173)&gt;$AD171),W9-(SUM($AD173:AT173)/SUM($AD171:$BG171)),IF(SUM($AD173:AT173)&gt;=$AD171," ",W9-(SUM($AD173:AT173)/(SUM($AD171:$BG171))))))</f>
        <v xml:space="preserve"> </v>
      </c>
      <c r="AU174" s="44" t="str">
        <f ca="1">IF(AU9&gt;WEEKNUM(TODAY())," ", IF(AND(AU10="x",SUM($AD173:AU173)&gt;$AD171),X9-(SUM($AD173:AU173)/SUM($AD171:$BG171)),IF(SUM($AD173:AU173)&gt;=$AD171," ",X9-(SUM($AD173:AU173)/(SUM($AD171:$BG171))))))</f>
        <v xml:space="preserve"> </v>
      </c>
      <c r="AV174" s="44" t="str">
        <f ca="1">IF(AV9&gt;WEEKNUM(TODAY())," ", IF(AND(AV10="x",SUM($AD173:AV173)&gt;$AD171),Y9-(SUM($AD173:AV173)/SUM($AD171:$BG171)),IF(SUM($AD173:AV173)&gt;=$AD171," ",Y9-(SUM($AD173:AV173)/(SUM($AD171:$BG171))))))</f>
        <v xml:space="preserve"> </v>
      </c>
      <c r="AW174" s="44" t="str">
        <f ca="1">IF(AW9&gt;WEEKNUM(TODAY())," ", IF(AND(AW10="x",SUM($AD173:AW173)&gt;$AD171),Z9-(SUM($AD173:AW173)/SUM($AD171:$BG171)),IF(SUM($AD173:AW173)&gt;=$AD171," ",Z9-(SUM($AD173:AW173)/(SUM($AD171:$BG171))))))</f>
        <v xml:space="preserve"> </v>
      </c>
      <c r="AX174" s="44" t="str">
        <f ca="1">IF(AX9&gt;WEEKNUM(TODAY())," ", IF(AND(AX10="x",SUM($AD173:AX173)&gt;$AD171),AA9-(SUM($AD173:AX173)/SUM($AD171:$BG171)),IF(SUM($AD173:AX173)&gt;=$AD171," ",AA9-(SUM($AD173:AX173)/(SUM($AD171:$BG171))))))</f>
        <v xml:space="preserve"> </v>
      </c>
      <c r="AY174" s="44" t="str">
        <f ca="1">IF(AY9&gt;WEEKNUM(TODAY())," ", IF(AND(AY10="x",SUM($AD173:AY173)&gt;$AD171),AB9-(SUM($AD173:AY173)/SUM($AD171:$BG171)),IF(SUM($AD173:AY173)&gt;=$AD171," ",AB9-(SUM($AD173:AY173)/(SUM($AD171:$BG171))))))</f>
        <v xml:space="preserve"> </v>
      </c>
      <c r="AZ174" s="44" t="str">
        <f ca="1">IF(AZ9&gt;WEEKNUM(TODAY())," ", IF(AND(AZ10="x",SUM($AD173:AZ173)&gt;$AD171),AC9-(SUM($AD173:AZ173)/SUM($AD171:$BG171)),IF(SUM($AD173:AZ173)&gt;=$AD171," ",AC9-(SUM($AD173:AZ173)/(SUM($AD171:$BG171))))))</f>
        <v xml:space="preserve"> </v>
      </c>
      <c r="BA174" s="44" t="str">
        <f ca="1">IF(BA9&gt;WEEKNUM(TODAY())," ", IF(AND(BA10="x",SUM($AD173:BA173)&gt;$AD171),AD9-(SUM($AD173:BA173)/SUM($AD171:$BG171)),IF(SUM($AD173:BA173)&gt;=$AD171," ",AD9-(SUM($AD173:BA173)/(SUM($AD171:$BG171))))))</f>
        <v xml:space="preserve"> </v>
      </c>
      <c r="BB174" s="44" t="str">
        <f ca="1">IF(BB9&gt;WEEKNUM(TODAY())," ", IF(AND(BB10="x",SUM($AD173:BB173)&gt;$AD171),AE9-(SUM($AD173:BB173)/SUM($AD171:$BG171)),IF(SUM($AD173:BB173)&gt;=$AD171," ",AE9-(SUM($AD173:BB173)/(SUM($AD171:$BG171))))))</f>
        <v xml:space="preserve"> </v>
      </c>
      <c r="BC174" s="44" t="str">
        <f ca="1">IF(BC9&gt;WEEKNUM(TODAY())," ", IF(AND(BC10="x",SUM($AD173:BC173)&gt;$AD171),AF9-(SUM($AD173:BC173)/SUM($AD171:$BG171)),IF(SUM($AD173:BC173)&gt;=$AD171," ",AF9-(SUM($AD173:BC173)/(SUM($AD171:$BG171))))))</f>
        <v xml:space="preserve"> </v>
      </c>
      <c r="BD174" s="44" t="str">
        <f ca="1">IF(BD9&gt;WEEKNUM(TODAY())," ", IF(AND(BD10="x",SUM($AD173:BD173)&gt;$AD171),AG9-(SUM($AD173:BD173)/SUM($AD171:$BG171)),IF(SUM($AD173:BD173)&gt;=$AD171," ",AG9-(SUM($AD173:BD173)/(SUM($AD171:$BG171))))))</f>
        <v xml:space="preserve"> </v>
      </c>
      <c r="BE174" s="44" t="str">
        <f ca="1">IF(BE9&gt;WEEKNUM(TODAY())," ", IF(AND(BE10="x",SUM($AD173:BE173)&gt;$AD171),AH9-(SUM($AD173:BE173)/SUM($AD171:$BG171)),IF(SUM($AD173:BE173)&gt;=$AD171," ",AH9-(SUM($AD173:BE173)/(SUM($AD171:$BG171))))))</f>
        <v xml:space="preserve"> </v>
      </c>
      <c r="BF174" s="44" t="str">
        <f ca="1">IF(BF9&gt;WEEKNUM(TODAY())," ", IF(AND(BF10="x",SUM($AD173:BF173)&gt;$AD171),AI9-(SUM($AD173:BF173)/SUM($AD171:$BG171)),IF(SUM($AD173:BF173)&gt;=$AD171," ",AI9-(SUM($AD173:BF173)/(SUM($AD171:$BG171))))))</f>
        <v xml:space="preserve"> </v>
      </c>
      <c r="BG174" s="44" t="str">
        <f ca="1">IF(BG9&gt;WEEKNUM(TODAY())," ", IF(AND(BG10="x",SUM($AD173:BG173)&gt;$AD171),AJ9-(SUM($AD173:BG173)/SUM($AD171:$BG171)),IF(SUM($AD173:BG173)&gt;=$AD171," ",AJ9-(SUM($AD173:BG173)/(SUM($AD171:$BG171))))))</f>
        <v xml:space="preserve"> </v>
      </c>
      <c r="BH174" s="21"/>
    </row>
    <row r="175" spans="2:60" ht="16.2" thickBot="1" x14ac:dyDescent="0.35">
      <c r="B175" s="70"/>
      <c r="C175" s="79"/>
      <c r="D175" s="84"/>
      <c r="E175" s="57"/>
      <c r="F175" s="117"/>
      <c r="H175" s="49" t="str">
        <f>IF(H171= " ", " ",IF(H173&gt;SUM($H171:$BG171), " N/A", IF(SUM($H173:$BG173)=SUM($H171:BG171), " ", IF(H173=SUM($H171:BG171), " ", "x"))))</f>
        <v>x</v>
      </c>
      <c r="I175" s="50" t="str">
        <f>IF(SUM($H173:I173) &gt; SUM($H171:I171),  " N/A", IF(SUM($H173:$BG173) = SUM($H171:$BH171),    " ",IF(I173 = SUM($H171:$BH171),  " ",   "x")))</f>
        <v>x</v>
      </c>
      <c r="J175" s="50" t="str">
        <f>IF(SUM($H173:J173) &gt; SUM($H171:J171),  " N/A", IF(SUM($H173:$BG173) = SUM($H171:$BH171),    " ",IF(J173 = SUM($H171:$BH171),  " ",   "x")))</f>
        <v>x</v>
      </c>
      <c r="K175" s="50" t="str">
        <f>IF(SUM($H173:K173) &gt; SUM($H171:K171),  " N/A", IF(SUM($H173:$BG173) = SUM($H171:$BH171),    " ",IF(K173 = SUM($H171:$BH171),  " ",   "x")))</f>
        <v>x</v>
      </c>
      <c r="L175" s="50" t="str">
        <f ca="1">IF(SUM($H173:L173) &gt; SUM($H171:L171),  " N/A", IF(SUM($H173:$BG173) = SUM($H139:$BH139),    " ",IF(L173 = SUM($H139:$BH139),  " ",   "x")))</f>
        <v xml:space="preserve"> </v>
      </c>
      <c r="M175" s="50" t="str">
        <f ca="1">IF(SUM($H173:M173) &gt; SUM($H171:M171),  " N/A", IF(SUM($H173:$BG173) = SUM($H139:$BH139),    " ",IF(M173 = SUM($H139:$BH139),  " ",   "x")))</f>
        <v xml:space="preserve"> </v>
      </c>
      <c r="N175" s="50" t="str">
        <f ca="1">IF(SUM($H173:N173) &gt; SUM($H171:N171),  " N/A", IF(SUM($H173:$BG173) = SUM($H139:$BH139),    " ",IF(N173 = SUM($H139:$BH139),  " ",   "x")))</f>
        <v xml:space="preserve"> </v>
      </c>
      <c r="O175" s="50" t="str">
        <f ca="1">IF(SUM($H173:O173) &gt; SUM($H171:O171),  " N/A", IF(SUM($H173:$BG173) = SUM($H139:$BH139),    " ",IF(O173 = SUM($H139:$BH139),  " ",   "x")))</f>
        <v xml:space="preserve"> </v>
      </c>
      <c r="P175" s="50" t="str">
        <f ca="1">IF(SUM($H173:P173) &gt; SUM($H171:P171),  " N/A", IF(SUM($H173:$BG173) = SUM($H139:$BH139),    " ",IF(P173 = SUM($H139:$BH139),  " ",   "x")))</f>
        <v xml:space="preserve"> </v>
      </c>
      <c r="Q175" s="50" t="str">
        <f ca="1">IF(SUM($H173:Q173) &gt; SUM($H171:Q171),  " N/A", IF(SUM($H173:$BG173) = SUM($H139:$BH139),    " ",IF(Q173 = SUM($H139:$BH139),  " ",   "x")))</f>
        <v xml:space="preserve"> </v>
      </c>
      <c r="R175" s="50" t="str">
        <f ca="1">IF(SUM($H173:R173) &gt; SUM($H171:R171),  " N/A", IF(SUM($H173:$BG173) = SUM($H139:$BH139),    " ",IF(R173 = SUM($H139:$BH139),  " ",   "x")))</f>
        <v xml:space="preserve"> </v>
      </c>
      <c r="S175" s="50" t="str">
        <f ca="1">IF(SUM($H173:S173) &gt; SUM($H171:S171),  " N/A", IF(SUM($H173:$BG173) = SUM($H139:$BH139),    " ",IF(S173 = SUM($H139:$BH139),  " ",   "x")))</f>
        <v xml:space="preserve"> </v>
      </c>
      <c r="T175" s="50" t="str">
        <f ca="1">IF(SUM($H173:T173) &gt; SUM($H171:T171),  " N/A", IF(SUM($H173:$BG173) = SUM($H139:$BH139),    " ",IF(T173 = SUM($H139:$BH139),  " ",   "x")))</f>
        <v xml:space="preserve"> </v>
      </c>
      <c r="U175" s="50" t="str">
        <f ca="1">IF(SUM($H173:U173) &gt; SUM($H171:U171),  " N/A", IF(SUM($H173:$BG173) = SUM($H139:$BH139),    " ",IF(U173 = SUM($H139:$BH139),  " ",   "x")))</f>
        <v xml:space="preserve"> </v>
      </c>
      <c r="V175" s="50" t="str">
        <f ca="1">IF(SUM($H173:V173) &gt; SUM($H171:V171),  " N/A", IF(SUM($H173:$BG173) = SUM($H139:$BH139),    " ",IF(V173 = SUM($H139:$BH139),  " ",   "x")))</f>
        <v xml:space="preserve"> </v>
      </c>
      <c r="W175" s="50" t="str">
        <f ca="1">IF(SUM($H173:W173) &gt; SUM($H171:W171),  " N/A", IF(SUM($H173:$BG173) = SUM($H139:$BH139),    " ",IF(W173 = SUM($H139:$BH139),  " ",   "x")))</f>
        <v xml:space="preserve"> </v>
      </c>
      <c r="X175" s="50" t="str">
        <f ca="1">IF(SUM($H173:X173) &gt; SUM($H171:X171),  " N/A", IF(SUM($H173:$BG173) = SUM($H139:$BH139),    " ",IF(X173 = SUM($H139:$BH139),  " ",   "x")))</f>
        <v xml:space="preserve"> </v>
      </c>
      <c r="Y175" s="50" t="str">
        <f ca="1">IF(SUM($H173:Y173) &gt; SUM($H171:Y171),  " N/A", IF(SUM($H173:$BG173) = SUM($H139:$BH139),    " ",IF(Y173 = SUM($H139:$BH139),  " ",   "x")))</f>
        <v xml:space="preserve"> </v>
      </c>
      <c r="Z175" s="50" t="str">
        <f ca="1">IF(SUM($H173:Z173) &gt; SUM($H171:Z171),  " N/A", IF(SUM($H173:$BG173) = SUM($H139:$BH139),    " ",IF(Z173 = SUM($H139:$BH139),  " ",   "x")))</f>
        <v xml:space="preserve"> </v>
      </c>
      <c r="AA175" s="50" t="str">
        <f ca="1">IF(SUM($H173:AA173) &gt; SUM($H171:AA171),  " N/A", IF(SUM($H173:$BG173) = SUM($H139:$BH139),    " ",IF(AA173 = SUM($H139:$BH139),  " ",   "x")))</f>
        <v xml:space="preserve"> </v>
      </c>
      <c r="AB175" s="50" t="str">
        <f ca="1">IF(SUM($H173:AB173) &gt; SUM($H171:AB171),  " N/A", IF(SUM($H173:$BG173) = SUM($H139:$BH139),    " ",IF(AB173 = SUM($H139:$BH139),  " ",   "x")))</f>
        <v xml:space="preserve"> </v>
      </c>
      <c r="AC175" s="50" t="str">
        <f ca="1">IF(SUM($H173:AC173) &gt; SUM($H171:AC171),  " N/A", IF(SUM($H173:$BG173) = SUM($H139:$BH139),    " ",IF(AC173 = SUM($H139:$BH139),  " ",   "x")))</f>
        <v xml:space="preserve"> </v>
      </c>
      <c r="AD175" s="50" t="str">
        <f ca="1">IF(SUM($H173:AD173) &gt; SUM($H171:AD171),  " N/A", IF(SUM($H173:$BG173) = SUM($H139:$BH139),    " ",IF(AD173 = SUM($H139:$BH139),  " ",   "x")))</f>
        <v xml:space="preserve"> </v>
      </c>
      <c r="AE175" s="44" t="str">
        <f ca="1">IF(SUM($H173:AE173) &gt; SUM($H171:AE171),  " N/A", IF(SUM($H173:$BG173) = SUM($H144:$BH144),    " ",IF(AE173 = SUM($H144:$BH144),  " ",   "x")))</f>
        <v xml:space="preserve"> </v>
      </c>
      <c r="AF175" s="50" t="str">
        <f ca="1">IF(SUM($H173:AF173) &gt; SUM($H171:AF171),  " N/A", IF(SUM($H173:$BG173) = SUM($H139:$BH139),    " ",IF(AF173 = SUM($H139:$BH139),  " ",   "x")))</f>
        <v xml:space="preserve"> </v>
      </c>
      <c r="AG175" s="50" t="str">
        <f ca="1">IF(SUM($H173:AG173) &gt; SUM($H171:AG171),  " N/A", IF(SUM($H173:$BG173) = SUM($H139:$BH139),    " ",IF(AG173 = SUM($H139:$BH139),  " ",   "x")))</f>
        <v xml:space="preserve"> </v>
      </c>
      <c r="AH175" s="50" t="str">
        <f ca="1">IF(SUM($H173:AH173) &gt; SUM($H171:AH171),  " N/A", IF(SUM($H173:$BG173) = SUM($H139:$BH139),    " ",IF(AH173 = SUM($H139:$BH139),  " ",   "x")))</f>
        <v xml:space="preserve"> </v>
      </c>
      <c r="AI175" s="50" t="str">
        <f ca="1">IF(SUM($H173:AI173) &gt; SUM($H171:AI171),  " N/A", IF(SUM($H173:$BG173) = SUM($H139:$BH139),    " ",IF(AI173 = SUM($H139:$BH139),  " ",   "x")))</f>
        <v xml:space="preserve"> </v>
      </c>
      <c r="AJ175" s="50" t="str">
        <f ca="1">IF(SUM($H173:AJ173) &gt; SUM($H171:AJ171),  " N/A", IF(SUM($H173:$BG173) = SUM($H139:$BH139),    " ",IF(AJ173 = SUM($H139:$BH139),  " ",   "x")))</f>
        <v xml:space="preserve"> </v>
      </c>
      <c r="AK175" s="50" t="str">
        <f ca="1">IF(SUM($H173:AK173) &gt; SUM($H171:AK171),  " N/A", IF(SUM($H173:$BG173) = SUM($H139:$BH139),    " ",IF(AK173 = SUM($H139:$BH139),  " ",   "x")))</f>
        <v xml:space="preserve"> </v>
      </c>
      <c r="AL175" s="50" t="str">
        <f ca="1">IF(SUM($H173:AL173) &gt; SUM($H171:AL171),  " N/A", IF(SUM($H173:$BG173) = SUM($H139:$BH139),    " ",IF(AL173 = SUM($H139:$BH139),  " ",   "x")))</f>
        <v xml:space="preserve"> </v>
      </c>
      <c r="AM175" s="50" t="str">
        <f ca="1">IF(SUM($H173:AM173) &gt; SUM($H171:AM171),  " N/A", IF(SUM($H173:$BG173) = SUM($H139:$BH139),    " ",IF(AM173 = SUM($H139:$BH139),  " ",   "x")))</f>
        <v xml:space="preserve"> </v>
      </c>
      <c r="AN175" s="50" t="str">
        <f ca="1">IF(SUM($H173:AN173) &gt; SUM($H171:AN171),  " N/A", IF(SUM($H173:$BG173) = SUM($H139:$BH139),    " ",IF(AN173 = SUM($H139:$BH139),  " ",   "x")))</f>
        <v xml:space="preserve"> </v>
      </c>
      <c r="AO175" s="50" t="str">
        <f ca="1">IF(SUM($H173:AO173) &gt; SUM($H171:AO171),  " N/A", IF(SUM($H173:$BG173) = SUM($H139:$BH139),    " ",IF(AO173 = SUM($H139:$BH139),  " ",   "x")))</f>
        <v xml:space="preserve"> </v>
      </c>
      <c r="AP175" s="50" t="str">
        <f ca="1">IF(SUM($H173:AP173) &gt; SUM($H171:AP171),  " N/A", IF(SUM($H173:$BG173) = SUM($H139:$BH139),    " ",IF(AP173 = SUM($H139:$BH139),  " ",   "x")))</f>
        <v xml:space="preserve"> </v>
      </c>
      <c r="AQ175" s="50" t="str">
        <f ca="1">IF(SUM($H173:AQ173) &gt; SUM($H171:AQ171),  " N/A", IF(SUM($H173:$BG173) = SUM($H139:$BH139),    " ",IF(AQ173 = SUM($H139:$BH139),  " ",   "x")))</f>
        <v xml:space="preserve"> </v>
      </c>
      <c r="AR175" s="50" t="str">
        <f ca="1">IF(SUM($H173:AR173) &gt; SUM($H171:AR171),  " N/A", IF(SUM($H173:$BG173) = SUM($H139:$BH139),    " ",IF(AR173 = SUM($H139:$BH139),  " ",   "x")))</f>
        <v xml:space="preserve"> </v>
      </c>
      <c r="AS175" s="50" t="str">
        <f ca="1">IF(SUM($H173:AS173) &gt; SUM($H171:AS171),  " N/A", IF(SUM($H173:$BG173) = SUM($H139:$BH139),    " ",IF(AS173 = SUM($H139:$BH139),  " ",   "x")))</f>
        <v xml:space="preserve"> </v>
      </c>
      <c r="AT175" s="50" t="str">
        <f ca="1">IF(SUM($H173:AT173) &gt; SUM($H171:AT171),  " N/A", IF(SUM($H173:$BG173) = SUM($H139:$BH139),    " ",IF(AT173 = SUM($H139:$BH139),  " ",   "x")))</f>
        <v xml:space="preserve"> </v>
      </c>
      <c r="AU175" s="50" t="str">
        <f ca="1">IF(SUM($H173:AU173) &gt; SUM($H171:AU171),  " N/A", IF(SUM($H173:$BG173) = SUM($H139:$BH139),    " ",IF(AU173 = SUM($H139:$BH139),  " ",   "x")))</f>
        <v xml:space="preserve"> </v>
      </c>
      <c r="AV175" s="50" t="str">
        <f ca="1">IF(SUM($H173:AV173) &gt; SUM($H171:AV171),  " N/A", IF(SUM($H173:$BG173) = SUM($H139:$BH139),    " ",IF(AV173 = SUM($H139:$BH139),  " ",   "x")))</f>
        <v xml:space="preserve"> </v>
      </c>
      <c r="AW175" s="50" t="str">
        <f ca="1">IF(SUM($H173:AW173) &gt; SUM($H171:AW171),  " N/A", IF(SUM($H173:$BG173) = SUM($H139:$BH139),    " ",IF(AW173 = SUM($H139:$BH139),  " ",   "x")))</f>
        <v xml:space="preserve"> </v>
      </c>
      <c r="AX175" s="50" t="str">
        <f ca="1">IF(SUM($H173:AX173) &gt; SUM($H171:AX171),  " N/A", IF(SUM($H173:$BG173) = SUM($H139:$BH139),    " ",IF(AX173 = SUM($H139:$BH139),  " ",   "x")))</f>
        <v xml:space="preserve"> </v>
      </c>
      <c r="AY175" s="50" t="str">
        <f ca="1">IF(SUM($H173:AY173) &gt; SUM($H171:AY171),  " N/A", IF(SUM($H173:$BG173) = SUM($H139:$BH139),    " ",IF(AY173 = SUM($H139:$BH139),  " ",   "x")))</f>
        <v xml:space="preserve"> </v>
      </c>
      <c r="AZ175" s="50" t="str">
        <f ca="1">IF(SUM($H173:AZ173) &gt; SUM($H171:AZ171),  " N/A", IF(SUM($H173:$BG173) = SUM($H139:$BH139),    " ",IF(AZ173 = SUM($H139:$BH139),  " ",   "x")))</f>
        <v xml:space="preserve"> </v>
      </c>
      <c r="BA175" s="50" t="str">
        <f ca="1">IF(SUM($H173:BA173) &gt; SUM($H171:BA171),  " N/A", IF(SUM($H173:$BG173) = SUM($H139:$BH139),    " ",IF(BA173 = SUM($H139:$BH139),  " ",   "x")))</f>
        <v xml:space="preserve"> </v>
      </c>
      <c r="BB175" s="50" t="str">
        <f ca="1">IF(SUM($H173:BB173) &gt; SUM($H171:BB171),  " N/A", IF(SUM($H173:$BG173) = SUM($H139:$BH139),    " ",IF(BB173 = SUM($H139:$BH139),  " ",   "x")))</f>
        <v xml:space="preserve"> </v>
      </c>
      <c r="BC175" s="50" t="str">
        <f ca="1">IF(SUM($H173:BC173) &gt; SUM($H171:BC171),  " N/A", IF(SUM($H173:$BG173) = SUM($H139:$BH139),    " ",IF(BC173 = SUM($H139:$BH139),  " ",   "x")))</f>
        <v xml:space="preserve"> </v>
      </c>
      <c r="BD175" s="50" t="str">
        <f ca="1">IF(SUM($H173:BD173) &gt; SUM($H171:BD171),  " N/A", IF(SUM($H173:$BG173) = SUM($H139:$BH139),    " ",IF(BD173 = SUM($H139:$BH139),  " ",   "x")))</f>
        <v xml:space="preserve"> </v>
      </c>
      <c r="BE175" s="50" t="str">
        <f ca="1">IF(SUM($H173:BE173) &gt; SUM($H171:BE171),  " N/A", IF(SUM($H173:$BG173) = SUM($H139:$BH139),    " ",IF(BE173 = SUM($H139:$BH139),  " ",   "x")))</f>
        <v xml:space="preserve"> </v>
      </c>
      <c r="BF175" s="50" t="str">
        <f ca="1">IF(SUM($H173:BF173) &gt; SUM($H171:BF171),  " N/A", IF(SUM($H173:$BG173) = SUM($H139:$BH139),    " ",IF(BF173 = SUM($H139:$BH139),  " ",   "x")))</f>
        <v xml:space="preserve"> </v>
      </c>
      <c r="BG175" s="50" t="str">
        <f ca="1">IF(SUM($H173:BG173) &gt; SUM($H171:BG171),  " N/A", IF(SUM($H173:$BG173) = SUM($H139:$BH139),    " ",IF(BG173 = SUM($H139:$BH139),  " ",   "x")))</f>
        <v xml:space="preserve"> </v>
      </c>
      <c r="BH175" s="21"/>
    </row>
    <row r="176" spans="2:60" ht="15.6" x14ac:dyDescent="0.3">
      <c r="B176" s="71"/>
      <c r="C176" s="77"/>
      <c r="D176" s="82" t="s">
        <v>249</v>
      </c>
      <c r="E176" s="54">
        <f>SUM(H176:BG176)</f>
        <v>24</v>
      </c>
      <c r="F176" s="115">
        <f>Gant_24!$E176-E178</f>
        <v>24</v>
      </c>
      <c r="H176" s="41"/>
      <c r="I176" s="42"/>
      <c r="J176" s="42"/>
      <c r="K176" s="42"/>
      <c r="L176" s="51"/>
      <c r="M176" s="51"/>
      <c r="N176" s="51"/>
      <c r="O176" s="51"/>
      <c r="P176" s="51"/>
      <c r="Q176" s="51"/>
      <c r="R176" s="51"/>
      <c r="S176" s="51"/>
      <c r="T176" s="51"/>
      <c r="U176" s="51"/>
      <c r="V176" s="51"/>
      <c r="W176" s="51"/>
      <c r="X176" s="51"/>
      <c r="Y176" s="51"/>
      <c r="Z176" s="51"/>
      <c r="AA176" s="51"/>
      <c r="AB176" s="51"/>
      <c r="AC176" s="51"/>
      <c r="AD176" s="51">
        <v>24</v>
      </c>
      <c r="AE176" s="51"/>
      <c r="AF176" s="51"/>
      <c r="AG176" s="51"/>
      <c r="AH176" s="51"/>
      <c r="AI176" s="51"/>
      <c r="AJ176" s="51"/>
      <c r="AK176" s="51"/>
      <c r="AL176" s="51"/>
      <c r="AM176" s="51"/>
      <c r="AN176" s="51"/>
      <c r="AO176" s="51"/>
      <c r="AP176" s="51"/>
      <c r="AQ176" s="51"/>
      <c r="AR176" s="51"/>
      <c r="AS176" s="51"/>
      <c r="AT176" s="51"/>
      <c r="AU176" s="51"/>
      <c r="AV176" s="51"/>
      <c r="AW176" s="51"/>
      <c r="AX176" s="51"/>
      <c r="AY176" s="51"/>
      <c r="AZ176" s="51"/>
      <c r="BA176" s="51"/>
      <c r="BB176" s="51"/>
      <c r="BC176" s="51"/>
      <c r="BD176" s="51"/>
      <c r="BE176" s="51"/>
      <c r="BF176" s="51"/>
      <c r="BG176" s="51"/>
      <c r="BH176" s="21"/>
    </row>
    <row r="177" spans="2:60" ht="15.6" x14ac:dyDescent="0.3">
      <c r="B177" s="68"/>
      <c r="C177" s="78"/>
      <c r="D177" s="83" t="s">
        <v>261</v>
      </c>
      <c r="E177" s="55">
        <f>SUM(H177:BG177)</f>
        <v>24</v>
      </c>
      <c r="F177" s="116"/>
      <c r="H177" s="43"/>
      <c r="I177" s="44"/>
      <c r="J177" s="44"/>
      <c r="K177" s="44"/>
      <c r="L177" s="50"/>
      <c r="M177" s="50"/>
      <c r="N177" s="50"/>
      <c r="O177" s="50"/>
      <c r="P177" s="50"/>
      <c r="Q177" s="50"/>
      <c r="R177" s="50"/>
      <c r="S177" s="50"/>
      <c r="T177" s="50"/>
      <c r="U177" s="50"/>
      <c r="V177" s="50"/>
      <c r="W177" s="50"/>
      <c r="X177" s="50"/>
      <c r="Y177" s="50"/>
      <c r="Z177" s="50"/>
      <c r="AA177" s="50"/>
      <c r="AB177" s="50"/>
      <c r="AC177" s="50"/>
      <c r="AD177" s="50"/>
      <c r="AE177" s="50"/>
      <c r="AF177" s="50"/>
      <c r="AG177" s="50">
        <v>8</v>
      </c>
      <c r="AH177" s="50">
        <v>8</v>
      </c>
      <c r="AI177" s="50">
        <v>8</v>
      </c>
      <c r="AJ177" s="50"/>
      <c r="AK177" s="50"/>
      <c r="AL177" s="50"/>
      <c r="AM177" s="50"/>
      <c r="AN177" s="50"/>
      <c r="AO177" s="50"/>
      <c r="AP177" s="50"/>
      <c r="AQ177" s="50"/>
      <c r="AR177" s="50"/>
      <c r="AS177" s="50"/>
      <c r="AT177" s="50"/>
      <c r="AU177" s="50"/>
      <c r="AV177" s="50"/>
      <c r="AW177" s="50"/>
      <c r="AX177" s="50"/>
      <c r="AY177" s="50"/>
      <c r="AZ177" s="50"/>
      <c r="BA177" s="50"/>
      <c r="BB177" s="50"/>
      <c r="BC177" s="50"/>
      <c r="BD177" s="50"/>
      <c r="BE177" s="50"/>
      <c r="BF177" s="50"/>
      <c r="BG177" s="50"/>
      <c r="BH177" s="21"/>
    </row>
    <row r="178" spans="2:60" ht="15.6" x14ac:dyDescent="0.3">
      <c r="B178" s="68" t="s">
        <v>157</v>
      </c>
      <c r="C178" s="78" t="s">
        <v>158</v>
      </c>
      <c r="D178" s="83" t="s">
        <v>241</v>
      </c>
      <c r="E178" s="55">
        <f>SUM(H178:BG178)</f>
        <v>0</v>
      </c>
      <c r="F178" s="116"/>
      <c r="H178" s="45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  <c r="AO178" s="46"/>
      <c r="AP178" s="46"/>
      <c r="AQ178" s="46"/>
      <c r="AR178" s="46"/>
      <c r="AS178" s="46"/>
      <c r="AT178" s="46"/>
      <c r="AU178" s="46"/>
      <c r="AV178" s="46"/>
      <c r="AW178" s="46"/>
      <c r="AX178" s="46"/>
      <c r="AY178" s="46"/>
      <c r="AZ178" s="46"/>
      <c r="BA178" s="46"/>
      <c r="BB178" s="46"/>
      <c r="BC178" s="46"/>
      <c r="BD178" s="46"/>
      <c r="BE178" s="46"/>
      <c r="BF178" s="46"/>
      <c r="BG178" s="46"/>
      <c r="BH178" s="21"/>
    </row>
    <row r="179" spans="2:60" ht="15.6" x14ac:dyDescent="0.3">
      <c r="B179" s="68"/>
      <c r="C179" s="78"/>
      <c r="D179" s="83" t="s">
        <v>278</v>
      </c>
      <c r="E179" s="56">
        <f ca="1">MAX(H179:BG179)</f>
        <v>0</v>
      </c>
      <c r="F179" s="116"/>
      <c r="H179" s="47"/>
      <c r="I179" s="48"/>
      <c r="J179" s="48"/>
      <c r="K179" s="48"/>
      <c r="L179" s="50"/>
      <c r="M179" s="50"/>
      <c r="N179" s="50"/>
      <c r="O179" s="50"/>
      <c r="P179" s="50"/>
      <c r="Q179" s="50"/>
      <c r="R179" s="50"/>
      <c r="S179" s="50"/>
      <c r="T179" s="50"/>
      <c r="U179" s="50"/>
      <c r="V179" s="50"/>
      <c r="W179" s="50"/>
      <c r="X179" s="50"/>
      <c r="Y179" s="50"/>
      <c r="Z179" s="50"/>
      <c r="AA179" s="44"/>
      <c r="AB179" s="44"/>
      <c r="AC179" s="44"/>
      <c r="AD179" s="44" t="str">
        <f>IF(SUM(H176:BG176) = AD178, " 0 ", " ")</f>
        <v xml:space="preserve"> </v>
      </c>
      <c r="AE179" s="44" t="str">
        <f ca="1">IF(AE9&gt;WEEKNUM(TODAY())," ", IF(AND(AE10="x",SUM($AD178:AE178)&gt;$AD176),H9-(SUM($AD178:AE178)/SUM($AD176:$BG176)),IF(SUM($AD178:AE178)&gt;=$AD176," ",H9-(SUM($AD178:AE178)/(SUM($AD176:$BG176))))))</f>
        <v xml:space="preserve"> </v>
      </c>
      <c r="AF179" s="44" t="str">
        <f ca="1">IF(AF9&gt;WEEKNUM(TODAY())," ", IF(AND(AF10="x",SUM($AD178:AF178)&gt;$AD176),I9-(SUM($AD178:AF178)/SUM($AD176:$BG176)),IF(SUM($AD178:AF178)&gt;=$AD176," ",I9-(SUM($AD178:AF178)/(SUM($AD176:$BG176))))))</f>
        <v xml:space="preserve"> </v>
      </c>
      <c r="AG179" s="44" t="str">
        <f ca="1">IF(AG9&gt;WEEKNUM(TODAY())," ", IF(AND(AG10="x",SUM($AD178:AG178)&gt;$AD176),J9-(SUM($AD178:AG178)/SUM($AD176:$BG176)),IF(SUM($AD178:AG178)&gt;=$AD176," ",J9-(SUM($AD178:AG178)/(SUM($AD176:$BG176))))))</f>
        <v xml:space="preserve"> </v>
      </c>
      <c r="AH179" s="44" t="str">
        <f ca="1">IF(AH9&gt;WEEKNUM(TODAY())," ", IF(AND(AH10="x",SUM($AD178:AH178)&gt;$AD176),K9-(SUM($AD178:AH178)/SUM($AD176:$BG176)),IF(SUM($AD178:AH178)&gt;=$AD176," ",K9-(SUM($AD178:AH178)/(SUM($AD176:$BG176))))))</f>
        <v xml:space="preserve"> </v>
      </c>
      <c r="AI179" s="44" t="str">
        <f ca="1">IF(AI9&gt;WEEKNUM(TODAY())," ", IF(AND(AI10="x",SUM($AD178:AI178)&gt;$AD176),L9-(SUM($AD178:AI178)/SUM($AD176:$BG176)),IF(SUM($AD178:AI178)&gt;=$AD176," ",L9-(SUM($AD178:AI178)/(SUM($AD176:$BG176))))))</f>
        <v xml:space="preserve"> </v>
      </c>
      <c r="AJ179" s="44" t="str">
        <f ca="1">IF(AJ9&gt;WEEKNUM(TODAY())," ", IF(AND(AJ10="x",SUM($AD178:AJ178)&gt;$AD176),M9-(SUM($AD178:AJ178)/SUM($AD176:$BG176)),IF(SUM($AD178:AJ178)&gt;=$AD176," ",M9-(SUM($AD178:AJ178)/(SUM($AD176:$BG176))))))</f>
        <v xml:space="preserve"> </v>
      </c>
      <c r="AK179" s="44" t="str">
        <f ca="1">IF(AK9&gt;WEEKNUM(TODAY())," ", IF(AND(AK10="x",SUM($AD178:AK178)&gt;$AD176),N9-(SUM($AD178:AK178)/SUM($AD176:$BG176)),IF(SUM($AD178:AK178)&gt;=$AD176," ",N9-(SUM($AD178:AK178)/(SUM($AD176:$BG176))))))</f>
        <v xml:space="preserve"> </v>
      </c>
      <c r="AL179" s="44" t="str">
        <f ca="1">IF(AL9&gt;WEEKNUM(TODAY())," ", IF(AND(AL10="x",SUM($AD178:AL178)&gt;$AD176),O9-(SUM($AD178:AL178)/SUM($AD176:$BG176)),IF(SUM($AD178:AL178)&gt;=$AD176," ",O9-(SUM($AD178:AL178)/(SUM($AD176:$BG176))))))</f>
        <v xml:space="preserve"> </v>
      </c>
      <c r="AM179" s="44" t="str">
        <f ca="1">IF(AM9&gt;WEEKNUM(TODAY())," ", IF(AND(AM10="x",SUM($AD178:AM178)&gt;$AD176),P9-(SUM($AD178:AM178)/SUM($AD176:$BG176)),IF(SUM($AD178:AM178)&gt;=$AD176," ",P9-(SUM($AD178:AM178)/(SUM($AD176:$BG176))))))</f>
        <v xml:space="preserve"> </v>
      </c>
      <c r="AN179" s="44" t="str">
        <f ca="1">IF(AN9&gt;WEEKNUM(TODAY())," ", IF(AND(AN10="x",SUM($AD178:AN178)&gt;$AD176),Q9-(SUM($AD178:AN178)/SUM($AD176:$BG176)),IF(SUM($AD178:AN178)&gt;=$AD176," ",Q9-(SUM($AD178:AN178)/(SUM($AD176:$BG176))))))</f>
        <v xml:space="preserve"> </v>
      </c>
      <c r="AO179" s="44" t="str">
        <f ca="1">IF(AO9&gt;WEEKNUM(TODAY())," ", IF(AND(AO10="x",SUM($AD178:AO178)&gt;$AD176),R9-(SUM($AD178:AO178)/SUM($AD176:$BG176)),IF(SUM($AD178:AO178)&gt;=$AD176," ",R9-(SUM($AD178:AO178)/(SUM($AD176:$BG176))))))</f>
        <v xml:space="preserve"> </v>
      </c>
      <c r="AP179" s="44" t="str">
        <f ca="1">IF(AP9&gt;WEEKNUM(TODAY())," ", IF(AND(AP10="x",SUM($AD178:AP178)&gt;$AD176),S9-(SUM($AD178:AP178)/SUM($AD176:$BG176)),IF(SUM($AD178:AP178)&gt;=$AD176," ",S9-(SUM($AD178:AP178)/(SUM($AD176:$BG176))))))</f>
        <v xml:space="preserve"> </v>
      </c>
      <c r="AQ179" s="44" t="str">
        <f ca="1">IF(AQ9&gt;WEEKNUM(TODAY())," ", IF(AND(AQ10="x",SUM($AD178:AQ178)&gt;$AD176),T9-(SUM($AD178:AQ178)/SUM($AD176:$BG176)),IF(SUM($AD178:AQ178)&gt;=$AD176," ",T9-(SUM($AD178:AQ178)/(SUM($AD176:$BG176))))))</f>
        <v xml:space="preserve"> </v>
      </c>
      <c r="AR179" s="44" t="str">
        <f ca="1">IF(AR9&gt;WEEKNUM(TODAY())," ", IF(AND(AR10="x",SUM($AD178:AR178)&gt;$AD176),U9-(SUM($AD178:AR178)/SUM($AD176:$BG176)),IF(SUM($AD178:AR178)&gt;=$AD176," ",U9-(SUM($AD178:AR178)/(SUM($AD176:$BG176))))))</f>
        <v xml:space="preserve"> </v>
      </c>
      <c r="AS179" s="44" t="str">
        <f ca="1">IF(AS9&gt;WEEKNUM(TODAY())," ", IF(AND(AS10="x",SUM($AD178:AS178)&gt;$AD176),V9-(SUM($AD178:AS178)/SUM($AD176:$BG176)),IF(SUM($AD178:AS178)&gt;=$AD176," ",V9-(SUM($AD178:AS178)/(SUM($AD176:$BG176))))))</f>
        <v xml:space="preserve"> </v>
      </c>
      <c r="AT179" s="44" t="str">
        <f ca="1">IF(AT9&gt;WEEKNUM(TODAY())," ", IF(AND(AT10="x",SUM($AD178:AT178)&gt;$AD176),W9-(SUM($AD178:AT178)/SUM($AD176:$BG176)),IF(SUM($AD178:AT178)&gt;=$AD176," ",W9-(SUM($AD178:AT178)/(SUM($AD176:$BG176))))))</f>
        <v xml:space="preserve"> </v>
      </c>
      <c r="AU179" s="44" t="str">
        <f ca="1">IF(AU9&gt;WEEKNUM(TODAY())," ", IF(AND(AU10="x",SUM($AD178:AU178)&gt;$AD176),X9-(SUM($AD178:AU178)/SUM($AD176:$BG176)),IF(SUM($AD178:AU178)&gt;=$AD176," ",X9-(SUM($AD178:AU178)/(SUM($AD176:$BG176))))))</f>
        <v xml:space="preserve"> </v>
      </c>
      <c r="AV179" s="44" t="str">
        <f ca="1">IF(AV9&gt;WEEKNUM(TODAY())," ", IF(AND(AV10="x",SUM($AD178:AV178)&gt;$AD176),Y9-(SUM($AD178:AV178)/SUM($AD176:$BG176)),IF(SUM($AD178:AV178)&gt;=$AD176," ",Y9-(SUM($AD178:AV178)/(SUM($AD176:$BG176))))))</f>
        <v xml:space="preserve"> </v>
      </c>
      <c r="AW179" s="44" t="str">
        <f ca="1">IF(AW9&gt;WEEKNUM(TODAY())," ", IF(AND(AW10="x",SUM($AD178:AW178)&gt;$AD176),Z9-(SUM($AD178:AW178)/SUM($AD176:$BG176)),IF(SUM($AD178:AW178)&gt;=$AD176," ",Z9-(SUM($AD178:AW178)/(SUM($AD176:$BG176))))))</f>
        <v xml:space="preserve"> </v>
      </c>
      <c r="AX179" s="44" t="str">
        <f ca="1">IF(AX9&gt;WEEKNUM(TODAY())," ", IF(AND(AX10="x",SUM($AD178:AX178)&gt;$AD176),AA9-(SUM($AD178:AX178)/SUM($AD176:$BG176)),IF(SUM($AD178:AX178)&gt;=$AD176," ",AA9-(SUM($AD178:AX178)/(SUM($AD176:$BG176))))))</f>
        <v xml:space="preserve"> </v>
      </c>
      <c r="AY179" s="44" t="str">
        <f ca="1">IF(AY9&gt;WEEKNUM(TODAY())," ", IF(AND(AY10="x",SUM($AD178:AY178)&gt;$AD176),AB9-(SUM($AD178:AY178)/SUM($AD176:$BG176)),IF(SUM($AD178:AY178)&gt;=$AD176," ",AB9-(SUM($AD178:AY178)/(SUM($AD176:$BG176))))))</f>
        <v xml:space="preserve"> </v>
      </c>
      <c r="AZ179" s="44" t="str">
        <f ca="1">IF(AZ9&gt;WEEKNUM(TODAY())," ", IF(AND(AZ10="x",SUM($AD178:AZ178)&gt;$AD176),AC9-(SUM($AD178:AZ178)/SUM($AD176:$BG176)),IF(SUM($AD178:AZ178)&gt;=$AD176," ",AC9-(SUM($AD178:AZ178)/(SUM($AD176:$BG176))))))</f>
        <v xml:space="preserve"> </v>
      </c>
      <c r="BA179" s="44" t="str">
        <f ca="1">IF(BA9&gt;WEEKNUM(TODAY())," ", IF(AND(BA10="x",SUM($AD178:BA178)&gt;$AD176),AD9-(SUM($AD178:BA178)/SUM($AD176:$BG176)),IF(SUM($AD178:BA178)&gt;=$AD176," ",AD9-(SUM($AD178:BA178)/(SUM($AD176:$BG176))))))</f>
        <v xml:space="preserve"> </v>
      </c>
      <c r="BB179" s="44" t="str">
        <f ca="1">IF(BB9&gt;WEEKNUM(TODAY())," ", IF(AND(BB10="x",SUM($AD178:BB178)&gt;$AD176),AE9-(SUM($AD178:BB178)/SUM($AD176:$BG176)),IF(SUM($AD178:BB178)&gt;=$AD176," ",AE9-(SUM($AD178:BB178)/(SUM($AD176:$BG176))))))</f>
        <v xml:space="preserve"> </v>
      </c>
      <c r="BC179" s="44" t="str">
        <f ca="1">IF(BC9&gt;WEEKNUM(TODAY())," ", IF(AND(BC10="x",SUM($AD178:BC178)&gt;$AD176),AF9-(SUM($AD178:BC178)/SUM($AD176:$BG176)),IF(SUM($AD178:BC178)&gt;=$AD176," ",AF9-(SUM($AD178:BC178)/(SUM($AD176:$BG176))))))</f>
        <v xml:space="preserve"> </v>
      </c>
      <c r="BD179" s="44" t="str">
        <f ca="1">IF(BD9&gt;WEEKNUM(TODAY())," ", IF(AND(BD10="x",SUM($AD178:BD178)&gt;$AD176),AG9-(SUM($AD178:BD178)/SUM($AD176:$BG176)),IF(SUM($AD178:BD178)&gt;=$AD176," ",AG9-(SUM($AD178:BD178)/(SUM($AD176:$BG176))))))</f>
        <v xml:space="preserve"> </v>
      </c>
      <c r="BE179" s="44" t="str">
        <f ca="1">IF(BE9&gt;WEEKNUM(TODAY())," ", IF(AND(BE10="x",SUM($AD178:BE178)&gt;$AD176),AH9-(SUM($AD178:BE178)/SUM($AD176:$BG176)),IF(SUM($AD178:BE178)&gt;=$AD176," ",AH9-(SUM($AD178:BE178)/(SUM($AD176:$BG176))))))</f>
        <v xml:space="preserve"> </v>
      </c>
      <c r="BF179" s="44" t="str">
        <f ca="1">IF(BF9&gt;WEEKNUM(TODAY())," ", IF(AND(BF10="x",SUM($AD178:BF178)&gt;$AD176),AI9-(SUM($AD178:BF178)/SUM($AD176:$BG176)),IF(SUM($AD178:BF178)&gt;=$AD176," ",AI9-(SUM($AD178:BF178)/(SUM($AD176:$BG176))))))</f>
        <v xml:space="preserve"> </v>
      </c>
      <c r="BG179" s="44" t="str">
        <f ca="1">IF(BG9&gt;WEEKNUM(TODAY())," ", IF(AND(BG10="x",SUM($AD178:BG178)&gt;$AD176),AJ9-(SUM($AD178:BG178)/SUM($AD176:$BG176)),IF(SUM($AD178:BG178)&gt;=$AD176," ",AJ9-(SUM($AD178:BG178)/(SUM($AD176:$BG176))))))</f>
        <v xml:space="preserve"> </v>
      </c>
      <c r="BH179" s="21"/>
    </row>
    <row r="180" spans="2:60" ht="16.2" thickBot="1" x14ac:dyDescent="0.35">
      <c r="B180" s="70"/>
      <c r="C180" s="79"/>
      <c r="D180" s="84"/>
      <c r="E180" s="57"/>
      <c r="F180" s="117"/>
      <c r="H180" s="49" t="str">
        <f>IF(H176= " ", " ",IF(H178&gt;SUM($H176:$BG176), " N/A", IF(SUM($H178:$BG178)=SUM($H176:BG176), " ", IF(H178=SUM($H176:BG176), " ", "x"))))</f>
        <v>x</v>
      </c>
      <c r="I180" s="50" t="str">
        <f>IF(SUM($H178:I178) &gt; SUM($H176:I176),  " N/A", IF(SUM($H178:$BG178) = SUM($H176:$BH176),    " ",IF(I178 = SUM($H176:$BH176),  " ",   "x")))</f>
        <v>x</v>
      </c>
      <c r="J180" s="50" t="str">
        <f>IF(SUM($H178:J178) &gt; SUM($H176:J176),  " N/A", IF(SUM($H178:$BG178) = SUM($H176:$BH176),    " ",IF(J178 = SUM($H176:$BH176),  " ",   "x")))</f>
        <v>x</v>
      </c>
      <c r="K180" s="50" t="str">
        <f>IF(SUM($H178:K178) &gt; SUM($H176:K176),  " N/A", IF(SUM($H178:$BG178) = SUM($H176:$BH176),    " ",IF(K178 = SUM($H176:$BH176),  " ",   "x")))</f>
        <v>x</v>
      </c>
      <c r="L180" s="50" t="str">
        <f>IF(SUM($H178:L178) &gt; SUM($H176:L176),  " N/A", IF(SUM($H178:$BG178) = SUM($H176:$BH176),    " ",IF(L178 = SUM($H176:$BH176),  " ",   "x")))</f>
        <v>x</v>
      </c>
      <c r="M180" s="50" t="str">
        <f>IF(SUM($H178:M178) &gt; SUM($H176:M176),  " N/A", IF(SUM($H178:$BG178) = SUM($H176:$BH176),    " ",IF(M178 = SUM($H176:$BH176),  " ",   "x")))</f>
        <v>x</v>
      </c>
      <c r="N180" s="50" t="str">
        <f>IF(SUM($H178:N178) &gt; SUM($H176:N176),  " N/A", IF(SUM($H178:$BG178) = SUM($H176:$BH176),    " ",IF(N178 = SUM($H176:$BH176),  " ",   "x")))</f>
        <v>x</v>
      </c>
      <c r="O180" s="50" t="str">
        <f>IF(SUM($H178:O178) &gt; SUM($H176:O176),  " N/A", IF(SUM($H178:$BG178) = SUM($H176:$BH176),    " ",IF(O178 = SUM($H176:$BH176),  " ",   "x")))</f>
        <v>x</v>
      </c>
      <c r="P180" s="50" t="str">
        <f>IF(SUM($H178:P178) &gt; SUM($H176:P176),  " N/A", IF(SUM($H178:$BG178) = SUM($H176:$BH176),    " ",IF(P178 = SUM($H176:$BH176),  " ",   "x")))</f>
        <v>x</v>
      </c>
      <c r="Q180" s="50" t="str">
        <f>IF(SUM($H178:Q178) &gt; SUM($H176:Q176),  " N/A", IF(SUM($H178:$BG178) = SUM($H176:$BH176),    " ",IF(Q178 = SUM($H176:$BH176),  " ",   "x")))</f>
        <v>x</v>
      </c>
      <c r="R180" s="50" t="str">
        <f>IF(SUM($H178:R178) &gt; SUM($H176:R176),  " N/A", IF(SUM($H178:$BG178) = SUM($H176:$BH176),    " ",IF(R178 = SUM($H176:$BH176),  " ",   "x")))</f>
        <v>x</v>
      </c>
      <c r="S180" s="50" t="str">
        <f>IF(SUM($H178:S178) &gt; SUM($H176:S176),  " N/A", IF(SUM($H178:$BG178) = SUM($H176:$BH176),    " ",IF(S178 = SUM($H176:$BH176),  " ",   "x")))</f>
        <v>x</v>
      </c>
      <c r="T180" s="50" t="str">
        <f>IF(SUM($H178:T178) &gt; SUM($H176:T176),  " N/A", IF(SUM($H178:$BG178) = SUM($H176:$BH176),    " ",IF(T178 = SUM($H176:$BH176),  " ",   "x")))</f>
        <v>x</v>
      </c>
      <c r="U180" s="50" t="str">
        <f>IF(SUM($H178:U178) &gt; SUM($H176:U176),  " N/A", IF(SUM($H178:$BG178) = SUM($H176:$BH176),    " ",IF(U178 = SUM($H176:$BH176),  " ",   "x")))</f>
        <v>x</v>
      </c>
      <c r="V180" s="50" t="str">
        <f>IF(SUM($H178:V178) &gt; SUM($H176:V176),  " N/A", IF(SUM($H178:$BG178) = SUM($H176:$BH176),    " ",IF(V178 = SUM($H176:$BH176),  " ",   "x")))</f>
        <v>x</v>
      </c>
      <c r="W180" s="50" t="str">
        <f>IF(SUM($H178:W178) &gt; SUM($H176:W176),  " N/A", IF(SUM($H178:$BG178) = SUM($H176:$BH176),    " ",IF(W178 = SUM($H176:$BH176),  " ",   "x")))</f>
        <v>x</v>
      </c>
      <c r="X180" s="50" t="str">
        <f>IF(SUM($H178:X178) &gt; SUM($H176:X176),  " N/A", IF(SUM($H178:$BG178) = SUM($H176:$BH176),    " ",IF(X178 = SUM($H176:$BH176),  " ",   "x")))</f>
        <v>x</v>
      </c>
      <c r="Y180" s="50" t="str">
        <f>IF(SUM($H178:Y178) &gt; SUM($H176:Y176),  " N/A", IF(SUM($H178:$BG178) = SUM($H176:$BH176),    " ",IF(Y178 = SUM($H176:$BH176),  " ",   "x")))</f>
        <v>x</v>
      </c>
      <c r="Z180" s="50" t="str">
        <f>IF(SUM($H178:Z178) &gt; SUM($H176:Z176),  " N/A", IF(SUM($H178:$BG178) = SUM($H176:$BH176),    " ",IF(Z178 = SUM($H176:$BH176),  " ",   "x")))</f>
        <v>x</v>
      </c>
      <c r="AA180" s="50" t="str">
        <f>IF(SUM($H178:AA178) &gt; SUM($H176:AA176),  " N/A", IF(SUM($H178:$BG178) = SUM($H176:$BH176),    " ",IF(AA178 = SUM($H176:$BH176),  " ",   "x")))</f>
        <v>x</v>
      </c>
      <c r="AB180" s="50" t="str">
        <f>IF(SUM($H178:AB178) &gt; SUM($H176:AB176),  " N/A", IF(SUM($H178:$BG178) = SUM($H176:$BH176),    " ",IF(AB178 = SUM($H176:$BH176),  " ",   "x")))</f>
        <v>x</v>
      </c>
      <c r="AC180" s="50" t="str">
        <f>IF(SUM($H178:AC178) &gt; SUM($H176:AC176),  " N/A", IF(SUM($H178:$BG178) = SUM($H176:$BH176),    " ",IF(AC178 = SUM($H176:$BH176),  " ",   "x")))</f>
        <v>x</v>
      </c>
      <c r="AD180" s="50" t="str">
        <f>IF(SUM($H178:AD178) &gt; SUM($H176:AD176),  " N/A", IF(SUM($H178:$BG178) = SUM($H176:$BH176),    " ",IF(AD178 = SUM($H176:$BH176),  " ",   "x")))</f>
        <v>x</v>
      </c>
      <c r="AE180" s="44" t="str">
        <f ca="1">IF(SUM($H178:AE178) &gt; SUM($H176:AE176),  " N/A", IF(SUM($H178:$BG178) = SUM($H149:$BH149),    " ",IF(AE178 = SUM($H149:$BH149),  " ",   "x")))</f>
        <v xml:space="preserve"> </v>
      </c>
      <c r="AF180" s="50" t="str">
        <f>IF(SUM($H178:AF178) &gt; SUM($H176:AF176),  " N/A", IF(SUM($H178:$BG178) = SUM($H176:$BH176),    " ",IF(AF178 = SUM($H176:$BH176),  " ",   "x")))</f>
        <v>x</v>
      </c>
      <c r="AG180" s="50" t="str">
        <f>IF(SUM($H178:AG178) &gt; SUM($H176:AG176),  " N/A", IF(SUM($H178:$BG178) = SUM($H176:$BH176),    " ",IF(AG178 = SUM($H176:$BH176),  " ",   "x")))</f>
        <v>x</v>
      </c>
      <c r="AH180" s="50" t="str">
        <f>IF(SUM($H178:AH178) &gt; SUM($H176:AH176),  " N/A", IF(SUM($H178:$BG178) = SUM($H176:$BH176),    " ",IF(AH178 = SUM($H176:$BH176),  " ",   "x")))</f>
        <v>x</v>
      </c>
      <c r="AI180" s="50" t="str">
        <f>IF(SUM($H178:AI178) &gt; SUM($H176:AI176),  " N/A", IF(SUM($H178:$BG178) = SUM($H176:$BH176),    " ",IF(AI178 = SUM($H176:$BH176),  " ",   "x")))</f>
        <v>x</v>
      </c>
      <c r="AJ180" s="50" t="str">
        <f>IF(SUM($H178:AJ178) &gt; SUM($H176:AJ176),  " N/A", IF(SUM($H178:$BG178) = SUM($H176:$BH176),    " ",IF(AJ178 = SUM($H176:$BH176),  " ",   "x")))</f>
        <v>x</v>
      </c>
      <c r="AK180" s="50" t="str">
        <f>IF(SUM($H178:AK178) &gt; SUM($H176:AK176),  " N/A", IF(SUM($H178:$BG178) = SUM($H176:$BH176),    " ",IF(AK178 = SUM($H176:$BH176),  " ",   "x")))</f>
        <v>x</v>
      </c>
      <c r="AL180" s="50" t="str">
        <f>IF(SUM($H178:AL178) &gt; SUM($H176:AL176),  " N/A", IF(SUM($H178:$BG178) = SUM($H176:$BH176),    " ",IF(AL178 = SUM($H176:$BH176),  " ",   "x")))</f>
        <v>x</v>
      </c>
      <c r="AM180" s="50" t="str">
        <f>IF(SUM($H178:AM178) &gt; SUM($H176:AM176),  " N/A", IF(SUM($H178:$BG178) = SUM($H176:$BH176),    " ",IF(AM178 = SUM($H176:$BH176),  " ",   "x")))</f>
        <v>x</v>
      </c>
      <c r="AN180" s="50" t="str">
        <f>IF(SUM($H178:AN178) &gt; SUM($H176:AN176),  " N/A", IF(SUM($H178:$BG178) = SUM($H176:$BH176),    " ",IF(AN178 = SUM($H176:$BH176),  " ",   "x")))</f>
        <v>x</v>
      </c>
      <c r="AO180" s="50" t="str">
        <f>IF(SUM($H178:AO178) &gt; SUM($H176:AO176),  " N/A", IF(SUM($H178:$BG178) = SUM($H176:$BH176),    " ",IF(AO178 = SUM($H176:$BH176),  " ",   "x")))</f>
        <v>x</v>
      </c>
      <c r="AP180" s="50" t="str">
        <f>IF(SUM($H178:AP178) &gt; SUM($H176:AP176),  " N/A", IF(SUM($H178:$BG178) = SUM($H176:$BH176),    " ",IF(AP178 = SUM($H176:$BH176),  " ",   "x")))</f>
        <v>x</v>
      </c>
      <c r="AQ180" s="50" t="str">
        <f>IF(SUM($H178:AQ178) &gt; SUM($H176:AQ176),  " N/A", IF(SUM($H178:$BG178) = SUM($H176:$BH176),    " ",IF(AQ178 = SUM($H176:$BH176),  " ",   "x")))</f>
        <v>x</v>
      </c>
      <c r="AR180" s="50" t="str">
        <f>IF(SUM($H178:AR178) &gt; SUM($H176:AR176),  " N/A", IF(SUM($H178:$BG178) = SUM($H176:$BH176),    " ",IF(AR178 = SUM($H176:$BH176),  " ",   "x")))</f>
        <v>x</v>
      </c>
      <c r="AS180" s="50" t="str">
        <f>IF(SUM($H178:AS178) &gt; SUM($H176:AS176),  " N/A", IF(SUM($H178:$BG178) = SUM($H176:$BH176),    " ",IF(AS178 = SUM($H176:$BH176),  " ",   "x")))</f>
        <v>x</v>
      </c>
      <c r="AT180" s="50" t="str">
        <f>IF(SUM($H178:AT178) &gt; SUM($H176:AT176),  " N/A", IF(SUM($H178:$BG178) = SUM($H176:$BH176),    " ",IF(AT178 = SUM($H176:$BH176),  " ",   "x")))</f>
        <v>x</v>
      </c>
      <c r="AU180" s="50" t="str">
        <f>IF(SUM($H178:AU178) &gt; SUM($H176:AU176),  " N/A", IF(SUM($H178:$BG178) = SUM($H176:$BH176),    " ",IF(AU178 = SUM($H176:$BH176),  " ",   "x")))</f>
        <v>x</v>
      </c>
      <c r="AV180" s="50" t="str">
        <f>IF(SUM($H178:AV178) &gt; SUM($H176:AV176),  " N/A", IF(SUM($H178:$BG178) = SUM($H176:$BH176),    " ",IF(AV178 = SUM($H176:$BH176),  " ",   "x")))</f>
        <v>x</v>
      </c>
      <c r="AW180" s="50" t="str">
        <f>IF(SUM($H178:AW178) &gt; SUM($H176:AW176),  " N/A", IF(SUM($H178:$BG178) = SUM($H176:$BH176),    " ",IF(AW178 = SUM($H176:$BH176),  " ",   "x")))</f>
        <v>x</v>
      </c>
      <c r="AX180" s="50" t="str">
        <f>IF(SUM($H178:AX178) &gt; SUM($H176:AX176),  " N/A", IF(SUM($H178:$BG178) = SUM($H176:$BH176),    " ",IF(AX178 = SUM($H176:$BH176),  " ",   "x")))</f>
        <v>x</v>
      </c>
      <c r="AY180" s="50" t="str">
        <f>IF(SUM($H178:AY178) &gt; SUM($H176:AY176),  " N/A", IF(SUM($H178:$BG178) = SUM($H176:$BH176),    " ",IF(AY178 = SUM($H176:$BH176),  " ",   "x")))</f>
        <v>x</v>
      </c>
      <c r="AZ180" s="50" t="str">
        <f>IF(SUM($H178:AZ178) &gt; SUM($H176:AZ176),  " N/A", IF(SUM($H178:$BG178) = SUM($H176:$BH176),    " ",IF(AZ178 = SUM($H176:$BH176),  " ",   "x")))</f>
        <v>x</v>
      </c>
      <c r="BA180" s="50" t="str">
        <f>IF(SUM($H178:BA178) &gt; SUM($H176:BA176),  " N/A", IF(SUM($H178:$BG178) = SUM($H176:$BH176),    " ",IF(BA178 = SUM($H176:$BH176),  " ",   "x")))</f>
        <v>x</v>
      </c>
      <c r="BB180" s="50" t="str">
        <f>IF(SUM($H178:BB178) &gt; SUM($H176:BB176),  " N/A", IF(SUM($H178:$BG178) = SUM($H176:$BH176),    " ",IF(BB178 = SUM($H176:$BH176),  " ",   "x")))</f>
        <v>x</v>
      </c>
      <c r="BC180" s="50" t="str">
        <f>IF(SUM($H178:BC178) &gt; SUM($H176:BC176),  " N/A", IF(SUM($H178:$BG178) = SUM($H176:$BH176),    " ",IF(BC178 = SUM($H176:$BH176),  " ",   "x")))</f>
        <v>x</v>
      </c>
      <c r="BD180" s="50" t="str">
        <f>IF(SUM($H178:BD178) &gt; SUM($H176:BD176),  " N/A", IF(SUM($H178:$BG178) = SUM($H176:$BH176),    " ",IF(BD178 = SUM($H176:$BH176),  " ",   "x")))</f>
        <v>x</v>
      </c>
      <c r="BE180" s="50" t="str">
        <f>IF(SUM($H178:BE178) &gt; SUM($H176:BE176),  " N/A", IF(SUM($H178:$BG178) = SUM($H176:$BH176),    " ",IF(BE178 = SUM($H176:$BH176),  " ",   "x")))</f>
        <v>x</v>
      </c>
      <c r="BF180" s="50" t="str">
        <f>IF(SUM($H178:BF178) &gt; SUM($H176:BF176),  " N/A", IF(SUM($H178:$BG178) = SUM($H176:$BH176),    " ",IF(BF178 = SUM($H176:$BH176),  " ",   "x")))</f>
        <v>x</v>
      </c>
      <c r="BG180" s="50" t="str">
        <f>IF(SUM($H178:BG178) &gt; SUM($H176:BG176),  " N/A", IF(SUM($H178:$BG178) = SUM($H176:$BH176),    " ",IF(BG178 = SUM($H176:$BH176),  " ",   "x")))</f>
        <v>x</v>
      </c>
      <c r="BH180" s="21"/>
    </row>
    <row r="181" spans="2:60" ht="15.6" x14ac:dyDescent="0.3">
      <c r="B181" s="71"/>
      <c r="C181" s="77"/>
      <c r="D181" s="82" t="s">
        <v>249</v>
      </c>
      <c r="E181" s="54">
        <f>SUM(H181:BG181)</f>
        <v>24</v>
      </c>
      <c r="F181" s="115">
        <f>Gant_24!$E181-E183</f>
        <v>24</v>
      </c>
      <c r="H181" s="41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>
        <v>24</v>
      </c>
      <c r="AE181" s="51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42"/>
      <c r="BB181" s="42"/>
      <c r="BC181" s="42"/>
      <c r="BD181" s="42"/>
      <c r="BE181" s="42"/>
      <c r="BF181" s="42"/>
      <c r="BG181" s="42"/>
      <c r="BH181" s="21"/>
    </row>
    <row r="182" spans="2:60" ht="15.6" x14ac:dyDescent="0.3">
      <c r="B182" s="68"/>
      <c r="C182" s="78"/>
      <c r="D182" s="83" t="s">
        <v>261</v>
      </c>
      <c r="E182" s="55">
        <f>SUM(H182:BG182)</f>
        <v>24</v>
      </c>
      <c r="F182" s="116"/>
      <c r="H182" s="43"/>
      <c r="I182" s="44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  <c r="Z182" s="44"/>
      <c r="AA182" s="44"/>
      <c r="AB182" s="44"/>
      <c r="AC182" s="44"/>
      <c r="AD182" s="44"/>
      <c r="AE182" s="50"/>
      <c r="AF182" s="44"/>
      <c r="AG182" s="44">
        <v>8</v>
      </c>
      <c r="AH182" s="44">
        <v>8</v>
      </c>
      <c r="AI182" s="44">
        <v>8</v>
      </c>
      <c r="AJ182" s="44"/>
      <c r="AK182" s="44"/>
      <c r="AL182" s="44"/>
      <c r="AM182" s="44"/>
      <c r="AN182" s="44"/>
      <c r="AO182" s="44"/>
      <c r="AP182" s="44"/>
      <c r="AQ182" s="44"/>
      <c r="AR182" s="44"/>
      <c r="AS182" s="44"/>
      <c r="AT182" s="44"/>
      <c r="AU182" s="44"/>
      <c r="AV182" s="44"/>
      <c r="AW182" s="44"/>
      <c r="AX182" s="44"/>
      <c r="AY182" s="44"/>
      <c r="AZ182" s="44"/>
      <c r="BA182" s="44"/>
      <c r="BB182" s="44"/>
      <c r="BC182" s="44"/>
      <c r="BD182" s="44"/>
      <c r="BE182" s="44"/>
      <c r="BF182" s="44"/>
      <c r="BG182" s="44"/>
      <c r="BH182" s="21"/>
    </row>
    <row r="183" spans="2:60" ht="15.6" x14ac:dyDescent="0.3">
      <c r="B183" s="68" t="s">
        <v>160</v>
      </c>
      <c r="C183" s="78" t="s">
        <v>161</v>
      </c>
      <c r="D183" s="83" t="s">
        <v>241</v>
      </c>
      <c r="E183" s="55">
        <f>SUM(H183:BG183)</f>
        <v>0</v>
      </c>
      <c r="F183" s="116"/>
      <c r="H183" s="45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  <c r="AG183" s="46"/>
      <c r="AH183" s="46"/>
      <c r="AI183" s="46"/>
      <c r="AJ183" s="46"/>
      <c r="AK183" s="46"/>
      <c r="AL183" s="46"/>
      <c r="AM183" s="46"/>
      <c r="AN183" s="46"/>
      <c r="AO183" s="46"/>
      <c r="AP183" s="46"/>
      <c r="AQ183" s="46"/>
      <c r="AR183" s="46"/>
      <c r="AS183" s="46"/>
      <c r="AT183" s="46"/>
      <c r="AU183" s="46"/>
      <c r="AV183" s="46"/>
      <c r="AW183" s="46"/>
      <c r="AX183" s="46"/>
      <c r="AY183" s="46"/>
      <c r="AZ183" s="46"/>
      <c r="BA183" s="46"/>
      <c r="BB183" s="46"/>
      <c r="BC183" s="46"/>
      <c r="BD183" s="46"/>
      <c r="BE183" s="46"/>
      <c r="BF183" s="46"/>
      <c r="BG183" s="46"/>
      <c r="BH183" s="21"/>
    </row>
    <row r="184" spans="2:60" ht="15.6" x14ac:dyDescent="0.3">
      <c r="B184" s="68"/>
      <c r="C184" s="78"/>
      <c r="D184" s="83" t="s">
        <v>278</v>
      </c>
      <c r="E184" s="56">
        <f ca="1">MAX(H184:BG184)</f>
        <v>0</v>
      </c>
      <c r="F184" s="116"/>
      <c r="H184" s="47"/>
      <c r="I184" s="48"/>
      <c r="J184" s="48"/>
      <c r="K184" s="48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  <c r="Y184" s="44"/>
      <c r="Z184" s="44"/>
      <c r="AA184" s="44"/>
      <c r="AB184" s="44"/>
      <c r="AC184" s="44"/>
      <c r="AD184" s="44" t="str">
        <f>IF(SUM(H181:BG181) = AD183, " 0 ", " ")</f>
        <v xml:space="preserve"> </v>
      </c>
      <c r="AE184" s="44" t="str">
        <f ca="1">IF(AE9&gt;WEEKNUM(TODAY())," ", IF(AND(AE10="x",SUM($AD183:AE183)&gt;$AD181),H9-(SUM($AD183:AE183)/SUM($AD181:$BG181)),IF(SUM($AD183:AE183)&gt;=$AD181," ",H9-(SUM($AD183:AE183)/(SUM($AD181:$BG181))))))</f>
        <v xml:space="preserve"> </v>
      </c>
      <c r="AF184" s="44" t="str">
        <f ca="1">IF(AF9&gt;WEEKNUM(TODAY())," ", IF(AND(AF10="x",SUM($AD183:AF183)&gt;$AD181),I9-(SUM($AD183:AF183)/SUM($AD181:$BG181)),IF(SUM($AD183:AF183)&gt;=$AD181," ",I9-(SUM($AD183:AF183)/(SUM($AD181:$BG181))))))</f>
        <v xml:space="preserve"> </v>
      </c>
      <c r="AG184" s="44" t="str">
        <f ca="1">IF(AG9&gt;WEEKNUM(TODAY())," ", IF(AND(AG10="x",SUM($AD183:AG183)&gt;$AD181),J9-(SUM($AD183:AG183)/SUM($AD181:$BG181)),IF(SUM($AD183:AG183)&gt;=$AD181," ",J9-(SUM($AD183:AG183)/(SUM($AD181:$BG181))))))</f>
        <v xml:space="preserve"> </v>
      </c>
      <c r="AH184" s="44" t="str">
        <f ca="1">IF(AH9&gt;WEEKNUM(TODAY())," ", IF(AND(AH10="x",SUM($AD183:AH183)&gt;$AD181),K9-(SUM($AD183:AH183)/SUM($AD181:$BG181)),IF(SUM($AD183:AH183)&gt;=$AD181," ",K9-(SUM($AD183:AH183)/(SUM($AD181:$BG181))))))</f>
        <v xml:space="preserve"> </v>
      </c>
      <c r="AI184" s="44" t="str">
        <f ca="1">IF(AI9&gt;WEEKNUM(TODAY())," ", IF(AND(AI10="x",SUM($AD183:AI183)&gt;$AD181),L9-(SUM($AD183:AI183)/SUM($AD181:$BG181)),IF(SUM($AD183:AI183)&gt;=$AD181," ",L9-(SUM($AD183:AI183)/(SUM($AD181:$BG181))))))</f>
        <v xml:space="preserve"> </v>
      </c>
      <c r="AJ184" s="44" t="str">
        <f ca="1">IF(AJ9&gt;WEEKNUM(TODAY())," ", IF(AND(AJ10="x",SUM($AD183:AJ183)&gt;$AD181),M9-(SUM($AD183:AJ183)/SUM($AD181:$BG181)),IF(SUM($AD183:AJ183)&gt;=$AD181," ",M9-(SUM($AD183:AJ183)/(SUM($AD181:$BG181))))))</f>
        <v xml:space="preserve"> </v>
      </c>
      <c r="AK184" s="44" t="str">
        <f ca="1">IF(AK9&gt;WEEKNUM(TODAY())," ", IF(AND(AK10="x",SUM($AD183:AK183)&gt;$AD181),N9-(SUM($AD183:AK183)/SUM($AD181:$BG181)),IF(SUM($AD183:AK183)&gt;=$AD181," ",N9-(SUM($AD183:AK183)/(SUM($AD181:$BG181))))))</f>
        <v xml:space="preserve"> </v>
      </c>
      <c r="AL184" s="44" t="str">
        <f ca="1">IF(AL9&gt;WEEKNUM(TODAY())," ", IF(AND(AL10="x",SUM($AD183:AL183)&gt;$AD181),O9-(SUM($AD183:AL183)/SUM($AD181:$BG181)),IF(SUM($AD183:AL183)&gt;=$AD181," ",O9-(SUM($AD183:AL183)/(SUM($AD181:$BG181))))))</f>
        <v xml:space="preserve"> </v>
      </c>
      <c r="AM184" s="44" t="str">
        <f ca="1">IF(AM9&gt;WEEKNUM(TODAY())," ", IF(AND(AM10="x",SUM($AD183:AM183)&gt;$AD181),P9-(SUM($AD183:AM183)/SUM($AD181:$BG181)),IF(SUM($AD183:AM183)&gt;=$AD181," ",P9-(SUM($AD183:AM183)/(SUM($AD181:$BG181))))))</f>
        <v xml:space="preserve"> </v>
      </c>
      <c r="AN184" s="44" t="str">
        <f ca="1">IF(AN9&gt;WEEKNUM(TODAY())," ", IF(AND(AN10="x",SUM($AD183:AN183)&gt;$AD181),Q9-(SUM($AD183:AN183)/SUM($AD181:$BG181)),IF(SUM($AD183:AN183)&gt;=$AD181," ",Q9-(SUM($AD183:AN183)/(SUM($AD181:$BG181))))))</f>
        <v xml:space="preserve"> </v>
      </c>
      <c r="AO184" s="44" t="str">
        <f ca="1">IF(AO9&gt;WEEKNUM(TODAY())," ", IF(AND(AO10="x",SUM($AD183:AO183)&gt;$AD181),R9-(SUM($AD183:AO183)/SUM($AD181:$BG181)),IF(SUM($AD183:AO183)&gt;=$AD181," ",R9-(SUM($AD183:AO183)/(SUM($AD181:$BG181))))))</f>
        <v xml:space="preserve"> </v>
      </c>
      <c r="AP184" s="44" t="str">
        <f ca="1">IF(AP9&gt;WEEKNUM(TODAY())," ", IF(AND(AP10="x",SUM($AD183:AP183)&gt;$AD181),S9-(SUM($AD183:AP183)/SUM($AD181:$BG181)),IF(SUM($AD183:AP183)&gt;=$AD181," ",S9-(SUM($AD183:AP183)/(SUM($AD181:$BG181))))))</f>
        <v xml:space="preserve"> </v>
      </c>
      <c r="AQ184" s="44" t="str">
        <f ca="1">IF(AQ9&gt;WEEKNUM(TODAY())," ", IF(AND(AQ10="x",SUM($AD183:AQ183)&gt;$AD181),T9-(SUM($AD183:AQ183)/SUM($AD181:$BG181)),IF(SUM($AD183:AQ183)&gt;=$AD181," ",T9-(SUM($AD183:AQ183)/(SUM($AD181:$BG181))))))</f>
        <v xml:space="preserve"> </v>
      </c>
      <c r="AR184" s="44" t="str">
        <f ca="1">IF(AR9&gt;WEEKNUM(TODAY())," ", IF(AND(AR10="x",SUM($AD183:AR183)&gt;$AD181),U9-(SUM($AD183:AR183)/SUM($AD181:$BG181)),IF(SUM($AD183:AR183)&gt;=$AD181," ",U9-(SUM($AD183:AR183)/(SUM($AD181:$BG181))))))</f>
        <v xml:space="preserve"> </v>
      </c>
      <c r="AS184" s="44" t="str">
        <f ca="1">IF(AS9&gt;WEEKNUM(TODAY())," ", IF(AND(AS10="x",SUM($AD183:AS183)&gt;$AD181),V9-(SUM($AD183:AS183)/SUM($AD181:$BG181)),IF(SUM($AD183:AS183)&gt;=$AD181," ",V9-(SUM($AD183:AS183)/(SUM($AD181:$BG181))))))</f>
        <v xml:space="preserve"> </v>
      </c>
      <c r="AT184" s="44" t="str">
        <f ca="1">IF(AT9&gt;WEEKNUM(TODAY())," ", IF(AND(AT10="x",SUM($AD183:AT183)&gt;$AD181),W9-(SUM($AD183:AT183)/SUM($AD181:$BG181)),IF(SUM($AD183:AT183)&gt;=$AD181," ",W9-(SUM($AD183:AT183)/(SUM($AD181:$BG181))))))</f>
        <v xml:space="preserve"> </v>
      </c>
      <c r="AU184" s="44" t="str">
        <f ca="1">IF(AU9&gt;WEEKNUM(TODAY())," ", IF(AND(AU10="x",SUM($AD183:AU183)&gt;$AD181),X9-(SUM($AD183:AU183)/SUM($AD181:$BG181)),IF(SUM($AD183:AU183)&gt;=$AD181," ",X9-(SUM($AD183:AU183)/(SUM($AD181:$BG181))))))</f>
        <v xml:space="preserve"> </v>
      </c>
      <c r="AV184" s="44" t="str">
        <f ca="1">IF(AV9&gt;WEEKNUM(TODAY())," ", IF(AND(AV10="x",SUM($AD183:AV183)&gt;$AD181),Y9-(SUM($AD183:AV183)/SUM($AD181:$BG181)),IF(SUM($AD183:AV183)&gt;=$AD181," ",Y9-(SUM($AD183:AV183)/(SUM($AD181:$BG181))))))</f>
        <v xml:space="preserve"> </v>
      </c>
      <c r="AW184" s="44" t="str">
        <f ca="1">IF(AW9&gt;WEEKNUM(TODAY())," ", IF(AND(AW10="x",SUM($AD183:AW183)&gt;$AD181),Z9-(SUM($AD183:AW183)/SUM($AD181:$BG181)),IF(SUM($AD183:AW183)&gt;=$AD181," ",Z9-(SUM($AD183:AW183)/(SUM($AD181:$BG181))))))</f>
        <v xml:space="preserve"> </v>
      </c>
      <c r="AX184" s="44" t="str">
        <f ca="1">IF(AX9&gt;WEEKNUM(TODAY())," ", IF(AND(AX10="x",SUM($AD183:AX183)&gt;$AD181),AA9-(SUM($AD183:AX183)/SUM($AD181:$BG181)),IF(SUM($AD183:AX183)&gt;=$AD181," ",AA9-(SUM($AD183:AX183)/(SUM($AD181:$BG181))))))</f>
        <v xml:space="preserve"> </v>
      </c>
      <c r="AY184" s="44" t="str">
        <f ca="1">IF(AY9&gt;WEEKNUM(TODAY())," ", IF(AND(AY10="x",SUM($AD183:AY183)&gt;$AD181),AB9-(SUM($AD183:AY183)/SUM($AD181:$BG181)),IF(SUM($AD183:AY183)&gt;=$AD181," ",AB9-(SUM($AD183:AY183)/(SUM($AD181:$BG181))))))</f>
        <v xml:space="preserve"> </v>
      </c>
      <c r="AZ184" s="44" t="str">
        <f ca="1">IF(AZ9&gt;WEEKNUM(TODAY())," ", IF(AND(AZ10="x",SUM($AD183:AZ183)&gt;$AD181),AC9-(SUM($AD183:AZ183)/SUM($AD181:$BG181)),IF(SUM($AD183:AZ183)&gt;=$AD181," ",AC9-(SUM($AD183:AZ183)/(SUM($AD181:$BG181))))))</f>
        <v xml:space="preserve"> </v>
      </c>
      <c r="BA184" s="44" t="str">
        <f ca="1">IF(BA9&gt;WEEKNUM(TODAY())," ", IF(AND(BA10="x",SUM($AD183:BA183)&gt;$AD181),AD9-(SUM($AD183:BA183)/SUM($AD181:$BG181)),IF(SUM($AD183:BA183)&gt;=$AD181," ",AD9-(SUM($AD183:BA183)/(SUM($AD181:$BG181))))))</f>
        <v xml:space="preserve"> </v>
      </c>
      <c r="BB184" s="44" t="str">
        <f ca="1">IF(BB9&gt;WEEKNUM(TODAY())," ", IF(AND(BB10="x",SUM($AD183:BB183)&gt;$AD181),AE9-(SUM($AD183:BB183)/SUM($AD181:$BG181)),IF(SUM($AD183:BB183)&gt;=$AD181," ",AE9-(SUM($AD183:BB183)/(SUM($AD181:$BG181))))))</f>
        <v xml:space="preserve"> </v>
      </c>
      <c r="BC184" s="44" t="str">
        <f ca="1">IF(BC9&gt;WEEKNUM(TODAY())," ", IF(AND(BC10="x",SUM($AD183:BC183)&gt;$AD181),AF9-(SUM($AD183:BC183)/SUM($AD181:$BG181)),IF(SUM($AD183:BC183)&gt;=$AD181," ",AF9-(SUM($AD183:BC183)/(SUM($AD181:$BG181))))))</f>
        <v xml:space="preserve"> </v>
      </c>
      <c r="BD184" s="44" t="str">
        <f ca="1">IF(BD9&gt;WEEKNUM(TODAY())," ", IF(AND(BD10="x",SUM($AD183:BD183)&gt;$AD181),AG9-(SUM($AD183:BD183)/SUM($AD181:$BG181)),IF(SUM($AD183:BD183)&gt;=$AD181," ",AG9-(SUM($AD183:BD183)/(SUM($AD181:$BG181))))))</f>
        <v xml:space="preserve"> </v>
      </c>
      <c r="BE184" s="44" t="str">
        <f ca="1">IF(BE9&gt;WEEKNUM(TODAY())," ", IF(AND(BE10="x",SUM($AD183:BE183)&gt;$AD181),AH9-(SUM($AD183:BE183)/SUM($AD181:$BG181)),IF(SUM($AD183:BE183)&gt;=$AD181," ",AH9-(SUM($AD183:BE183)/(SUM($AD181:$BG181))))))</f>
        <v xml:space="preserve"> </v>
      </c>
      <c r="BF184" s="44" t="str">
        <f ca="1">IF(BF9&gt;WEEKNUM(TODAY())," ", IF(AND(BF10="x",SUM($AD183:BF183)&gt;$AD181),AI9-(SUM($AD183:BF183)/SUM($AD181:$BG181)),IF(SUM($AD183:BF183)&gt;=$AD181," ",AI9-(SUM($AD183:BF183)/(SUM($AD181:$BG181))))))</f>
        <v xml:space="preserve"> </v>
      </c>
      <c r="BG184" s="44" t="str">
        <f ca="1">IF(BG9&gt;WEEKNUM(TODAY())," ", IF(AND(BG10="x",SUM($AD183:BG183)&gt;$AD181),AJ9-(SUM($AD183:BG183)/SUM($AD181:$BG181)),IF(SUM($AD183:BG183)&gt;=$AD181," ",AJ9-(SUM($AD183:BG183)/(SUM($AD181:$BG181))))))</f>
        <v xml:space="preserve"> </v>
      </c>
      <c r="BH184" s="21"/>
    </row>
    <row r="185" spans="2:60" ht="16.2" thickBot="1" x14ac:dyDescent="0.35">
      <c r="B185" s="70"/>
      <c r="C185" s="79"/>
      <c r="D185" s="84"/>
      <c r="E185" s="57"/>
      <c r="F185" s="117"/>
      <c r="H185" s="49" t="str">
        <f>IF(H181= " ", " ",IF(H183&gt;SUM($H181:$BG181), " N/A", IF(SUM($H183:$BG183)=SUM($H181:BG181), " ", IF(H183=SUM($H181:BG181), " ", "x"))))</f>
        <v>x</v>
      </c>
      <c r="I185" s="50" t="str">
        <f>IF(SUM($H183:I183) &gt; SUM($H181:I181),  " N/A", IF(SUM($H183:$BG183) = SUM($H181:$BH181),    " ",IF(I183 = SUM($H181:$BH181),  " ",   "x")))</f>
        <v>x</v>
      </c>
      <c r="J185" s="50" t="str">
        <f>IF(SUM($H183:J183) &gt; SUM($H181:J181),  " N/A", IF(SUM($H183:$BG183) = SUM($H181:$BH181),    " ",IF(J183 = SUM($H181:$BH181),  " ",   "x")))</f>
        <v>x</v>
      </c>
      <c r="K185" s="50" t="str">
        <f>IF(SUM($H183:K183) &gt; SUM($H181:K181),  " N/A", IF(SUM($H183:$BG183) = SUM($H181:$BH181),    " ",IF(K183 = SUM($H181:$BH181),  " ",   "x")))</f>
        <v>x</v>
      </c>
      <c r="L185" s="50" t="str">
        <f>IF(SUM($H183:L183) &gt; SUM($H181:L181),  " N/A", IF(SUM($H183:$BG183) = SUM($H181:$BH181),    " ",IF(L183 = SUM($H181:$BH181),  " ",   "x")))</f>
        <v>x</v>
      </c>
      <c r="M185" s="50" t="str">
        <f>IF(SUM($H183:M183) &gt; SUM($H181:M181),  " N/A", IF(SUM($H183:$BG183) = SUM($H181:$BH181),    " ",IF(M183 = SUM($H181:$BH181),  " ",   "x")))</f>
        <v>x</v>
      </c>
      <c r="N185" s="50" t="str">
        <f>IF(SUM($H183:N183) &gt; SUM($H181:N181),  " N/A", IF(SUM($H183:$BG183) = SUM($H181:$BH181),    " ",IF(N183 = SUM($H181:$BH181),  " ",   "x")))</f>
        <v>x</v>
      </c>
      <c r="O185" s="50" t="str">
        <f>IF(SUM($H183:O183) &gt; SUM($H181:O181),  " N/A", IF(SUM($H183:$BG183) = SUM($H181:$BH181),    " ",IF(O183 = SUM($H181:$BH181),  " ",   "x")))</f>
        <v>x</v>
      </c>
      <c r="P185" s="50" t="str">
        <f>IF(SUM($H183:P183) &gt; SUM($H181:P181),  " N/A", IF(SUM($H183:$BG183) = SUM($H181:$BH181),    " ",IF(P183 = SUM($H181:$BH181),  " ",   "x")))</f>
        <v>x</v>
      </c>
      <c r="Q185" s="50" t="str">
        <f>IF(SUM($H183:Q183) &gt; SUM($H181:Q181),  " N/A", IF(SUM($H183:$BG183) = SUM($H181:$BH181),    " ",IF(Q183 = SUM($H181:$BH181),  " ",   "x")))</f>
        <v>x</v>
      </c>
      <c r="R185" s="50" t="str">
        <f>IF(SUM($H183:R183) &gt; SUM($H181:R181),  " N/A", IF(SUM($H183:$BG183) = SUM($H181:$BH181),    " ",IF(R183 = SUM($H181:$BH181),  " ",   "x")))</f>
        <v>x</v>
      </c>
      <c r="S185" s="50" t="str">
        <f>IF(SUM($H183:S183) &gt; SUM($H181:S181),  " N/A", IF(SUM($H183:$BG183) = SUM($H181:$BH181),    " ",IF(S183 = SUM($H181:$BH181),  " ",   "x")))</f>
        <v>x</v>
      </c>
      <c r="T185" s="50" t="str">
        <f>IF(SUM($H183:T183) &gt; SUM($H181:T181),  " N/A", IF(SUM($H183:$BG183) = SUM($H181:$BH181),    " ",IF(T183 = SUM($H181:$BH181),  " ",   "x")))</f>
        <v>x</v>
      </c>
      <c r="U185" s="50" t="str">
        <f>IF(SUM($H183:U183) &gt; SUM($H181:U181),  " N/A", IF(SUM($H183:$BG183) = SUM($H181:$BH181),    " ",IF(U183 = SUM($H181:$BH181),  " ",   "x")))</f>
        <v>x</v>
      </c>
      <c r="V185" s="50" t="str">
        <f>IF(SUM($H183:V183) &gt; SUM($H181:V181),  " N/A", IF(SUM($H183:$BG183) = SUM($H181:$BH181),    " ",IF(V183 = SUM($H181:$BH181),  " ",   "x")))</f>
        <v>x</v>
      </c>
      <c r="W185" s="50" t="str">
        <f>IF(SUM($H183:W183) &gt; SUM($H181:W181),  " N/A", IF(SUM($H183:$BG183) = SUM($H181:$BH181),    " ",IF(W183 = SUM($H181:$BH181),  " ",   "x")))</f>
        <v>x</v>
      </c>
      <c r="X185" s="50" t="str">
        <f>IF(SUM($H183:X183) &gt; SUM($H181:X181),  " N/A", IF(SUM($H183:$BG183) = SUM($H181:$BH181),    " ",IF(X183 = SUM($H181:$BH181),  " ",   "x")))</f>
        <v>x</v>
      </c>
      <c r="Y185" s="50" t="str">
        <f>IF(SUM($H183:Y183) &gt; SUM($H181:Y181),  " N/A", IF(SUM($H183:$BG183) = SUM($H181:$BH181),    " ",IF(Y183 = SUM($H181:$BH181),  " ",   "x")))</f>
        <v>x</v>
      </c>
      <c r="Z185" s="50" t="str">
        <f>IF(SUM($H183:Z183) &gt; SUM($H181:Z181),  " N/A", IF(SUM($H183:$BG183) = SUM($H181:$BH181),    " ",IF(Z183 = SUM($H181:$BH181),  " ",   "x")))</f>
        <v>x</v>
      </c>
      <c r="AA185" s="50" t="str">
        <f>IF(SUM($H183:AA183) &gt; SUM($H181:AA181),  " N/A", IF(SUM($H183:$BG183) = SUM($H181:$BH181),    " ",IF(AA183 = SUM($H181:$BH181),  " ",   "x")))</f>
        <v>x</v>
      </c>
      <c r="AB185" s="50" t="str">
        <f>IF(SUM($H183:AB183) &gt; SUM($H181:AB181),  " N/A", IF(SUM($H183:$BG183) = SUM($H181:$BH181),    " ",IF(AB183 = SUM($H181:$BH181),  " ",   "x")))</f>
        <v>x</v>
      </c>
      <c r="AC185" s="50" t="str">
        <f>IF(SUM($H183:AC183) &gt; SUM($H181:AC181),  " N/A", IF(SUM($H183:$BG183) = SUM($H181:$BH181),    " ",IF(AC183 = SUM($H181:$BH181),  " ",   "x")))</f>
        <v>x</v>
      </c>
      <c r="AD185" s="50" t="str">
        <f>IF(SUM($H183:AD183) &gt; SUM($H181:AD181),  " N/A", IF(SUM($H183:$BG183) = SUM($H181:$BH181),    " ",IF(AD183 = SUM($H181:$BH181),  " ",   "x")))</f>
        <v>x</v>
      </c>
      <c r="AE185" s="50" t="str">
        <f>IF(SUM($H183:AE183) &gt; SUM($H181:AE181),  " N/A", IF(SUM($H183:$BG183) = SUM($H181:$BH181),    " ",IF(AE183 = SUM($H181:$BH181),  " ",   "x")))</f>
        <v>x</v>
      </c>
      <c r="AF185" s="50" t="str">
        <f>IF(SUM($H183:AF183) &gt; SUM($H181:AF181),  " N/A", IF(SUM($H183:$BG183) = SUM($H181:$BH181),    " ",IF(AF183 = SUM($H181:$BH181),  " ",   "x")))</f>
        <v>x</v>
      </c>
      <c r="AG185" s="50" t="str">
        <f>IF(SUM($H183:AG183) &gt; SUM($H181:AG181),  " N/A", IF(SUM($H183:$BG183) = SUM($H181:$BH181),    " ",IF(AG183 = SUM($H181:$BH181),  " ",   "x")))</f>
        <v>x</v>
      </c>
      <c r="AH185" s="50" t="str">
        <f>IF(SUM($H183:AH183) &gt; SUM($H181:AH181),  " N/A", IF(SUM($H183:$BG183) = SUM($H181:$BH181),    " ",IF(AH183 = SUM($H181:$BH181),  " ",   "x")))</f>
        <v>x</v>
      </c>
      <c r="AI185" s="50" t="str">
        <f>IF(SUM($H183:AI183) &gt; SUM($H181:AI181),  " N/A", IF(SUM($H183:$BG183) = SUM($H181:$BH181),    " ",IF(AI183 = SUM($H181:$BH181),  " ",   "x")))</f>
        <v>x</v>
      </c>
      <c r="AJ185" s="50" t="str">
        <f>IF(SUM($H183:AJ183) &gt; SUM($H181:AJ181),  " N/A", IF(SUM($H183:$BG183) = SUM($H181:$BH181),    " ",IF(AJ183 = SUM($H181:$BH181),  " ",   "x")))</f>
        <v>x</v>
      </c>
      <c r="AK185" s="50" t="str">
        <f>IF(SUM($H183:AK183) &gt; SUM($H181:AK181),  " N/A", IF(SUM($H183:$BG183) = SUM($H181:$BH181),    " ",IF(AK183 = SUM($H181:$BH181),  " ",   "x")))</f>
        <v>x</v>
      </c>
      <c r="AL185" s="50" t="str">
        <f>IF(SUM($H183:AL183) &gt; SUM($H181:AL181),  " N/A", IF(SUM($H183:$BG183) = SUM($H181:$BH181),    " ",IF(AL183 = SUM($H181:$BH181),  " ",   "x")))</f>
        <v>x</v>
      </c>
      <c r="AM185" s="50" t="str">
        <f>IF(SUM($H183:AM183) &gt; SUM($H181:AM181),  " N/A", IF(SUM($H183:$BG183) = SUM($H181:$BH181),    " ",IF(AM183 = SUM($H181:$BH181),  " ",   "x")))</f>
        <v>x</v>
      </c>
      <c r="AN185" s="50" t="str">
        <f>IF(SUM($H183:AN183) &gt; SUM($H181:AN181),  " N/A", IF(SUM($H183:$BG183) = SUM($H181:$BH181),    " ",IF(AN183 = SUM($H181:$BH181),  " ",   "x")))</f>
        <v>x</v>
      </c>
      <c r="AO185" s="50" t="str">
        <f>IF(SUM($H183:AO183) &gt; SUM($H181:AO181),  " N/A", IF(SUM($H183:$BG183) = SUM($H181:$BH181),    " ",IF(AO183 = SUM($H181:$BH181),  " ",   "x")))</f>
        <v>x</v>
      </c>
      <c r="AP185" s="50" t="str">
        <f>IF(SUM($H183:AP183) &gt; SUM($H181:AP181),  " N/A", IF(SUM($H183:$BG183) = SUM($H181:$BH181),    " ",IF(AP183 = SUM($H181:$BH181),  " ",   "x")))</f>
        <v>x</v>
      </c>
      <c r="AQ185" s="50" t="str">
        <f>IF(SUM($H183:AQ183) &gt; SUM($H181:AQ181),  " N/A", IF(SUM($H183:$BG183) = SUM($H181:$BH181),    " ",IF(AQ183 = SUM($H181:$BH181),  " ",   "x")))</f>
        <v>x</v>
      </c>
      <c r="AR185" s="50" t="str">
        <f>IF(SUM($H183:AR183) &gt; SUM($H181:AR181),  " N/A", IF(SUM($H183:$BG183) = SUM($H181:$BH181),    " ",IF(AR183 = SUM($H181:$BH181),  " ",   "x")))</f>
        <v>x</v>
      </c>
      <c r="AS185" s="50" t="str">
        <f>IF(SUM($H183:AS183) &gt; SUM($H181:AS181),  " N/A", IF(SUM($H183:$BG183) = SUM($H181:$BH181),    " ",IF(AS183 = SUM($H181:$BH181),  " ",   "x")))</f>
        <v>x</v>
      </c>
      <c r="AT185" s="50" t="str">
        <f>IF(SUM($H183:AT183) &gt; SUM($H181:AT181),  " N/A", IF(SUM($H183:$BG183) = SUM($H181:$BH181),    " ",IF(AT183 = SUM($H181:$BH181),  " ",   "x")))</f>
        <v>x</v>
      </c>
      <c r="AU185" s="50" t="str">
        <f>IF(SUM($H183:AU183) &gt; SUM($H181:AU181),  " N/A", IF(SUM($H183:$BG183) = SUM($H181:$BH181),    " ",IF(AU183 = SUM($H181:$BH181),  " ",   "x")))</f>
        <v>x</v>
      </c>
      <c r="AV185" s="50" t="str">
        <f>IF(SUM($H183:AV183) &gt; SUM($H181:AV181),  " N/A", IF(SUM($H183:$BG183) = SUM($H181:$BH181),    " ",IF(AV183 = SUM($H181:$BH181),  " ",   "x")))</f>
        <v>x</v>
      </c>
      <c r="AW185" s="50" t="str">
        <f>IF(SUM($H183:AW183) &gt; SUM($H181:AW181),  " N/A", IF(SUM($H183:$BG183) = SUM($H181:$BH181),    " ",IF(AW183 = SUM($H181:$BH181),  " ",   "x")))</f>
        <v>x</v>
      </c>
      <c r="AX185" s="50" t="str">
        <f>IF(SUM($H183:AX183) &gt; SUM($H181:AX181),  " N/A", IF(SUM($H183:$BG183) = SUM($H181:$BH181),    " ",IF(AX183 = SUM($H181:$BH181),  " ",   "x")))</f>
        <v>x</v>
      </c>
      <c r="AY185" s="50" t="str">
        <f>IF(SUM($H183:AY183) &gt; SUM($H181:AY181),  " N/A", IF(SUM($H183:$BG183) = SUM($H181:$BH181),    " ",IF(AY183 = SUM($H181:$BH181),  " ",   "x")))</f>
        <v>x</v>
      </c>
      <c r="AZ185" s="50" t="str">
        <f>IF(SUM($H183:AZ183) &gt; SUM($H181:AZ181),  " N/A", IF(SUM($H183:$BG183) = SUM($H181:$BH181),    " ",IF(AZ183 = SUM($H181:$BH181),  " ",   "x")))</f>
        <v>x</v>
      </c>
      <c r="BA185" s="50" t="str">
        <f>IF(SUM($H183:BA183) &gt; SUM($H181:BA181),  " N/A", IF(SUM($H183:$BG183) = SUM($H181:$BH181),    " ",IF(BA183 = SUM($H181:$BH181),  " ",   "x")))</f>
        <v>x</v>
      </c>
      <c r="BB185" s="50" t="str">
        <f>IF(SUM($H183:BB183) &gt; SUM($H181:BB181),  " N/A", IF(SUM($H183:$BG183) = SUM($H181:$BH181),    " ",IF(BB183 = SUM($H181:$BH181),  " ",   "x")))</f>
        <v>x</v>
      </c>
      <c r="BC185" s="50" t="str">
        <f>IF(SUM($H183:BC183) &gt; SUM($H181:BC181),  " N/A", IF(SUM($H183:$BG183) = SUM($H181:$BH181),    " ",IF(BC183 = SUM($H181:$BH181),  " ",   "x")))</f>
        <v>x</v>
      </c>
      <c r="BD185" s="50" t="str">
        <f>IF(SUM($H183:BD183) &gt; SUM($H181:BD181),  " N/A", IF(SUM($H183:$BG183) = SUM($H181:$BH181),    " ",IF(BD183 = SUM($H181:$BH181),  " ",   "x")))</f>
        <v>x</v>
      </c>
      <c r="BE185" s="50" t="str">
        <f>IF(SUM($H183:BE183) &gt; SUM($H181:BE181),  " N/A", IF(SUM($H183:$BG183) = SUM($H181:$BH181),    " ",IF(BE183 = SUM($H181:$BH181),  " ",   "x")))</f>
        <v>x</v>
      </c>
      <c r="BF185" s="50" t="str">
        <f>IF(SUM($H183:BF183) &gt; SUM($H181:BF181),  " N/A", IF(SUM($H183:$BG183) = SUM($H181:$BH181),    " ",IF(BF183 = SUM($H181:$BH181),  " ",   "x")))</f>
        <v>x</v>
      </c>
      <c r="BG185" s="50" t="str">
        <f>IF(SUM($H183:BG183) &gt; SUM($H181:BG181),  " N/A", IF(SUM($H183:$BG183) = SUM($H181:$BH181),    " ",IF(BG183 = SUM($H181:$BH181),  " ",   "x")))</f>
        <v>x</v>
      </c>
      <c r="BH185" s="21"/>
    </row>
    <row r="186" spans="2:60" ht="15.6" x14ac:dyDescent="0.3">
      <c r="B186" s="71"/>
      <c r="C186" s="77"/>
      <c r="D186" s="82" t="s">
        <v>249</v>
      </c>
      <c r="E186" s="54">
        <f>SUM(H186:BG186)</f>
        <v>24</v>
      </c>
      <c r="F186" s="115">
        <f>Gant_24!$E186-E188</f>
        <v>24</v>
      </c>
      <c r="H186" s="41"/>
      <c r="I186" s="42"/>
      <c r="J186" s="42"/>
      <c r="K186" s="42"/>
      <c r="L186" s="51"/>
      <c r="M186" s="51"/>
      <c r="N186" s="51"/>
      <c r="O186" s="51"/>
      <c r="P186" s="51"/>
      <c r="Q186" s="51"/>
      <c r="R186" s="51"/>
      <c r="S186" s="51"/>
      <c r="T186" s="51"/>
      <c r="U186" s="51"/>
      <c r="V186" s="51"/>
      <c r="W186" s="51"/>
      <c r="X186" s="51"/>
      <c r="Y186" s="51"/>
      <c r="Z186" s="51"/>
      <c r="AA186" s="51"/>
      <c r="AB186" s="51"/>
      <c r="AC186" s="51"/>
      <c r="AD186" s="51">
        <v>24</v>
      </c>
      <c r="AE186" s="51"/>
      <c r="AF186" s="51"/>
      <c r="AG186" s="51"/>
      <c r="AH186" s="51"/>
      <c r="AI186" s="51"/>
      <c r="AJ186" s="51"/>
      <c r="AK186" s="51"/>
      <c r="AL186" s="51"/>
      <c r="AM186" s="51"/>
      <c r="AN186" s="51"/>
      <c r="AO186" s="51"/>
      <c r="AP186" s="51"/>
      <c r="AQ186" s="51"/>
      <c r="AR186" s="51"/>
      <c r="AS186" s="51"/>
      <c r="AT186" s="51"/>
      <c r="AU186" s="51"/>
      <c r="AV186" s="51"/>
      <c r="AW186" s="51"/>
      <c r="AX186" s="51"/>
      <c r="AY186" s="51"/>
      <c r="AZ186" s="51"/>
      <c r="BA186" s="51"/>
      <c r="BB186" s="51"/>
      <c r="BC186" s="51"/>
      <c r="BD186" s="51"/>
      <c r="BE186" s="51"/>
      <c r="BF186" s="51"/>
      <c r="BG186" s="51"/>
      <c r="BH186" s="21"/>
    </row>
    <row r="187" spans="2:60" ht="15.6" x14ac:dyDescent="0.3">
      <c r="B187" s="68"/>
      <c r="C187" s="78"/>
      <c r="D187" s="83" t="s">
        <v>261</v>
      </c>
      <c r="E187" s="55">
        <f>SUM(H187:BG187)</f>
        <v>32</v>
      </c>
      <c r="F187" s="116"/>
      <c r="H187" s="43"/>
      <c r="I187" s="44"/>
      <c r="J187" s="44"/>
      <c r="K187" s="44"/>
      <c r="L187" s="50"/>
      <c r="M187" s="50"/>
      <c r="N187" s="50"/>
      <c r="O187" s="50"/>
      <c r="P187" s="50"/>
      <c r="Q187" s="50"/>
      <c r="R187" s="50"/>
      <c r="S187" s="50"/>
      <c r="T187" s="50"/>
      <c r="U187" s="50"/>
      <c r="V187" s="50"/>
      <c r="W187" s="50"/>
      <c r="X187" s="50"/>
      <c r="Y187" s="50"/>
      <c r="Z187" s="50"/>
      <c r="AA187" s="50"/>
      <c r="AB187" s="50"/>
      <c r="AC187" s="50"/>
      <c r="AD187" s="50"/>
      <c r="AE187" s="50"/>
      <c r="AF187" s="50">
        <v>8</v>
      </c>
      <c r="AG187" s="50">
        <v>8</v>
      </c>
      <c r="AH187" s="50">
        <v>8</v>
      </c>
      <c r="AI187" s="50">
        <v>8</v>
      </c>
      <c r="AJ187" s="50"/>
      <c r="AK187" s="50"/>
      <c r="AL187" s="50"/>
      <c r="AM187" s="50"/>
      <c r="AN187" s="50"/>
      <c r="AO187" s="50"/>
      <c r="AP187" s="50"/>
      <c r="AQ187" s="50"/>
      <c r="AR187" s="50"/>
      <c r="AS187" s="50"/>
      <c r="AT187" s="50"/>
      <c r="AU187" s="50"/>
      <c r="AV187" s="50"/>
      <c r="AW187" s="50"/>
      <c r="AX187" s="50"/>
      <c r="AY187" s="50"/>
      <c r="AZ187" s="50"/>
      <c r="BA187" s="50"/>
      <c r="BB187" s="50"/>
      <c r="BC187" s="50"/>
      <c r="BD187" s="50"/>
      <c r="BE187" s="50"/>
      <c r="BF187" s="50"/>
      <c r="BG187" s="50"/>
      <c r="BH187" s="21"/>
    </row>
    <row r="188" spans="2:60" ht="15.6" x14ac:dyDescent="0.3">
      <c r="B188" s="68" t="s">
        <v>163</v>
      </c>
      <c r="C188" s="78" t="s">
        <v>164</v>
      </c>
      <c r="D188" s="83" t="s">
        <v>241</v>
      </c>
      <c r="E188" s="55">
        <f>SUM(H188:BG188)</f>
        <v>0</v>
      </c>
      <c r="F188" s="116"/>
      <c r="H188" s="45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  <c r="AG188" s="46"/>
      <c r="AH188" s="46"/>
      <c r="AI188" s="46"/>
      <c r="AJ188" s="46"/>
      <c r="AK188" s="46"/>
      <c r="AL188" s="46"/>
      <c r="AM188" s="46"/>
      <c r="AN188" s="46"/>
      <c r="AO188" s="46"/>
      <c r="AP188" s="46"/>
      <c r="AQ188" s="46"/>
      <c r="AR188" s="46"/>
      <c r="AS188" s="46"/>
      <c r="AT188" s="46"/>
      <c r="AU188" s="46"/>
      <c r="AV188" s="46"/>
      <c r="AW188" s="46"/>
      <c r="AX188" s="46"/>
      <c r="AY188" s="46"/>
      <c r="AZ188" s="46"/>
      <c r="BA188" s="46"/>
      <c r="BB188" s="46"/>
      <c r="BC188" s="46"/>
      <c r="BD188" s="46"/>
      <c r="BE188" s="46"/>
      <c r="BF188" s="46"/>
      <c r="BG188" s="46"/>
      <c r="BH188" s="21"/>
    </row>
    <row r="189" spans="2:60" ht="15.6" x14ac:dyDescent="0.3">
      <c r="B189" s="68"/>
      <c r="C189" s="78"/>
      <c r="D189" s="83" t="s">
        <v>278</v>
      </c>
      <c r="E189" s="56">
        <f ca="1">MAX(H189:BG189)</f>
        <v>0</v>
      </c>
      <c r="F189" s="116"/>
      <c r="H189" s="47"/>
      <c r="I189" s="48"/>
      <c r="J189" s="48"/>
      <c r="K189" s="48"/>
      <c r="L189" s="50"/>
      <c r="M189" s="50"/>
      <c r="N189" s="50"/>
      <c r="O189" s="50"/>
      <c r="P189" s="50"/>
      <c r="Q189" s="50"/>
      <c r="R189" s="50"/>
      <c r="S189" s="50"/>
      <c r="T189" s="50"/>
      <c r="U189" s="50"/>
      <c r="V189" s="50"/>
      <c r="W189" s="50"/>
      <c r="X189" s="50"/>
      <c r="Y189" s="50"/>
      <c r="Z189" s="50"/>
      <c r="AA189" s="44"/>
      <c r="AB189" s="44"/>
      <c r="AC189" s="44"/>
      <c r="AD189" s="44" t="str">
        <f>IF(SUM(H186:BG186) = AD188, " 0 ", " ")</f>
        <v xml:space="preserve"> </v>
      </c>
      <c r="AE189" s="44" t="str">
        <f ca="1">IF(AE9&gt;WEEKNUM(TODAY())," ", IF(AND(AE10="x",SUM($AD188:AE188)&gt;$AD186),H9-(SUM($AD188:AE188)/SUM($AD186:$BG186)),IF(SUM($AD188:AE188)&gt;=$AD186," ",H9-(SUM($AD188:AE188)/(SUM($AD186:$BG186))))))</f>
        <v xml:space="preserve"> </v>
      </c>
      <c r="AF189" s="44" t="str">
        <f ca="1">IF(AF9&gt;WEEKNUM(TODAY())," ", IF(AND(AF10="x",SUM($AD188:AF188)&gt;$AD186),I9-(SUM($AD188:AF188)/SUM($AD186:$BG186)),IF(SUM($AD188:AF188)&gt;=$AD186," ",I9-(SUM($AD188:AF188)/(SUM($AD186:$BG186))))))</f>
        <v xml:space="preserve"> </v>
      </c>
      <c r="AG189" s="44" t="str">
        <f ca="1">IF(AG9&gt;WEEKNUM(TODAY())," ", IF(AND(AG10="x",SUM($AD188:AG188)&gt;$AD186),J9-(SUM($AD188:AG188)/SUM($AD186:$BG186)),IF(SUM($AD188:AG188)&gt;=$AD186," ",J9-(SUM($AD188:AG188)/(SUM($AD186:$BG186))))))</f>
        <v xml:space="preserve"> </v>
      </c>
      <c r="AH189" s="44" t="str">
        <f ca="1">IF(AH9&gt;WEEKNUM(TODAY())," ", IF(AND(AH10="x",SUM($AD188:AH188)&gt;$AD186),K9-(SUM($AD188:AH188)/SUM($AD186:$BG186)),IF(SUM($AD188:AH188)&gt;=$AD186," ",K9-(SUM($AD188:AH188)/(SUM($AD186:$BG186))))))</f>
        <v xml:space="preserve"> </v>
      </c>
      <c r="AI189" s="44" t="str">
        <f ca="1">IF(AI9&gt;WEEKNUM(TODAY())," ", IF(AND(AI10="x",SUM($AD188:AI188)&gt;$AD186),L9-(SUM($AD188:AI188)/SUM($AD186:$BG186)),IF(SUM($AD188:AI188)&gt;=$AD186," ",L9-(SUM($AD188:AI188)/(SUM($AD186:$BG186))))))</f>
        <v xml:space="preserve"> </v>
      </c>
      <c r="AJ189" s="44" t="str">
        <f ca="1">IF(AJ9&gt;WEEKNUM(TODAY())," ", IF(AND(AJ10="x",SUM($AD188:AJ188)&gt;$AD186),M9-(SUM($AD188:AJ188)/SUM($AD186:$BG186)),IF(SUM($AD188:AJ188)&gt;=$AD186," ",M9-(SUM($AD188:AJ188)/(SUM($AD186:$BG186))))))</f>
        <v xml:space="preserve"> </v>
      </c>
      <c r="AK189" s="44" t="str">
        <f ca="1">IF(AK9&gt;WEEKNUM(TODAY())," ", IF(AND(AK10="x",SUM($AD188:AK188)&gt;$AD186),N9-(SUM($AD188:AK188)/SUM($AD186:$BG186)),IF(SUM($AD188:AK188)&gt;=$AD186," ",N9-(SUM($AD188:AK188)/(SUM($AD186:$BG186))))))</f>
        <v xml:space="preserve"> </v>
      </c>
      <c r="AL189" s="44" t="str">
        <f ca="1">IF(AL9&gt;WEEKNUM(TODAY())," ", IF(AND(AL10="x",SUM($AD188:AL188)&gt;$AD186),O9-(SUM($AD188:AL188)/SUM($AD186:$BG186)),IF(SUM($AD188:AL188)&gt;=$AD186," ",O9-(SUM($AD188:AL188)/(SUM($AD186:$BG186))))))</f>
        <v xml:space="preserve"> </v>
      </c>
      <c r="AM189" s="44" t="str">
        <f ca="1">IF(AM9&gt;WEEKNUM(TODAY())," ", IF(AND(AM10="x",SUM($AD188:AM188)&gt;$AD186),P9-(SUM($AD188:AM188)/SUM($AD186:$BG186)),IF(SUM($AD188:AM188)&gt;=$AD186," ",P9-(SUM($AD188:AM188)/(SUM($AD186:$BG186))))))</f>
        <v xml:space="preserve"> </v>
      </c>
      <c r="AN189" s="44" t="str">
        <f ca="1">IF(AN9&gt;WEEKNUM(TODAY())," ", IF(AND(AN10="x",SUM($AD188:AN188)&gt;$AD186),Q9-(SUM($AD188:AN188)/SUM($AD186:$BG186)),IF(SUM($AD188:AN188)&gt;=$AD186," ",Q9-(SUM($AD188:AN188)/(SUM($AD186:$BG186))))))</f>
        <v xml:space="preserve"> </v>
      </c>
      <c r="AO189" s="44" t="str">
        <f ca="1">IF(AO9&gt;WEEKNUM(TODAY())," ", IF(AND(AO10="x",SUM($AD188:AO188)&gt;$AD186),R9-(SUM($AD188:AO188)/SUM($AD186:$BG186)),IF(SUM($AD188:AO188)&gt;=$AD186," ",R9-(SUM($AD188:AO188)/(SUM($AD186:$BG186))))))</f>
        <v xml:space="preserve"> </v>
      </c>
      <c r="AP189" s="44" t="str">
        <f ca="1">IF(AP9&gt;WEEKNUM(TODAY())," ", IF(AND(AP10="x",SUM($AD188:AP188)&gt;$AD186),S9-(SUM($AD188:AP188)/SUM($AD186:$BG186)),IF(SUM($AD188:AP188)&gt;=$AD186," ",S9-(SUM($AD188:AP188)/(SUM($AD186:$BG186))))))</f>
        <v xml:space="preserve"> </v>
      </c>
      <c r="AQ189" s="44" t="str">
        <f ca="1">IF(AQ9&gt;WEEKNUM(TODAY())," ", IF(AND(AQ10="x",SUM($AD188:AQ188)&gt;$AD186),T9-(SUM($AD188:AQ188)/SUM($AD186:$BG186)),IF(SUM($AD188:AQ188)&gt;=$AD186," ",T9-(SUM($AD188:AQ188)/(SUM($AD186:$BG186))))))</f>
        <v xml:space="preserve"> </v>
      </c>
      <c r="AR189" s="44" t="str">
        <f ca="1">IF(AR9&gt;WEEKNUM(TODAY())," ", IF(AND(AR10="x",SUM($AD188:AR188)&gt;$AD186),U9-(SUM($AD188:AR188)/SUM($AD186:$BG186)),IF(SUM($AD188:AR188)&gt;=$AD186," ",U9-(SUM($AD188:AR188)/(SUM($AD186:$BG186))))))</f>
        <v xml:space="preserve"> </v>
      </c>
      <c r="AS189" s="44" t="str">
        <f ca="1">IF(AS9&gt;WEEKNUM(TODAY())," ", IF(AND(AS10="x",SUM($AD188:AS188)&gt;$AD186),V9-(SUM($AD188:AS188)/SUM($AD186:$BG186)),IF(SUM($AD188:AS188)&gt;=$AD186," ",V9-(SUM($AD188:AS188)/(SUM($AD186:$BG186))))))</f>
        <v xml:space="preserve"> </v>
      </c>
      <c r="AT189" s="44" t="str">
        <f ca="1">IF(AT9&gt;WEEKNUM(TODAY())," ", IF(AND(AT10="x",SUM($AD188:AT188)&gt;$AD186),W9-(SUM($AD188:AT188)/SUM($AD186:$BG186)),IF(SUM($AD188:AT188)&gt;=$AD186," ",W9-(SUM($AD188:AT188)/(SUM($AD186:$BG186))))))</f>
        <v xml:space="preserve"> </v>
      </c>
      <c r="AU189" s="44" t="str">
        <f ca="1">IF(AU9&gt;WEEKNUM(TODAY())," ", IF(AND(AU10="x",SUM($AD188:AU188)&gt;$AD186),X9-(SUM($AD188:AU188)/SUM($AD186:$BG186)),IF(SUM($AD188:AU188)&gt;=$AD186," ",X9-(SUM($AD188:AU188)/(SUM($AD186:$BG186))))))</f>
        <v xml:space="preserve"> </v>
      </c>
      <c r="AV189" s="44" t="str">
        <f ca="1">IF(AV9&gt;WEEKNUM(TODAY())," ", IF(AND(AV10="x",SUM($AD188:AV188)&gt;$AD186),Y9-(SUM($AD188:AV188)/SUM($AD186:$BG186)),IF(SUM($AD188:AV188)&gt;=$AD186," ",Y9-(SUM($AD188:AV188)/(SUM($AD186:$BG186))))))</f>
        <v xml:space="preserve"> </v>
      </c>
      <c r="AW189" s="44" t="str">
        <f ca="1">IF(AW9&gt;WEEKNUM(TODAY())," ", IF(AND(AW10="x",SUM($AD188:AW188)&gt;$AD186),Z9-(SUM($AD188:AW188)/SUM($AD186:$BG186)),IF(SUM($AD188:AW188)&gt;=$AD186," ",Z9-(SUM($AD188:AW188)/(SUM($AD186:$BG186))))))</f>
        <v xml:space="preserve"> </v>
      </c>
      <c r="AX189" s="44" t="str">
        <f ca="1">IF(AX9&gt;WEEKNUM(TODAY())," ", IF(AND(AX10="x",SUM($AD188:AX188)&gt;$AD186),AA9-(SUM($AD188:AX188)/SUM($AD186:$BG186)),IF(SUM($AD188:AX188)&gt;=$AD186," ",AA9-(SUM($AD188:AX188)/(SUM($AD186:$BG186))))))</f>
        <v xml:space="preserve"> </v>
      </c>
      <c r="AY189" s="44" t="str">
        <f ca="1">IF(AY9&gt;WEEKNUM(TODAY())," ", IF(AND(AY10="x",SUM($AD188:AY188)&gt;$AD186),AB9-(SUM($AD188:AY188)/SUM($AD186:$BG186)),IF(SUM($AD188:AY188)&gt;=$AD186," ",AB9-(SUM($AD188:AY188)/(SUM($AD186:$BG186))))))</f>
        <v xml:space="preserve"> </v>
      </c>
      <c r="AZ189" s="44" t="str">
        <f ca="1">IF(AZ9&gt;WEEKNUM(TODAY())," ", IF(AND(AZ10="x",SUM($AD188:AZ188)&gt;$AD186),AC9-(SUM($AD188:AZ188)/SUM($AD186:$BG186)),IF(SUM($AD188:AZ188)&gt;=$AD186," ",AC9-(SUM($AD188:AZ188)/(SUM($AD186:$BG186))))))</f>
        <v xml:space="preserve"> </v>
      </c>
      <c r="BA189" s="44" t="str">
        <f ca="1">IF(BA9&gt;WEEKNUM(TODAY())," ", IF(AND(BA10="x",SUM($AD188:BA188)&gt;$AD186),AD9-(SUM($AD188:BA188)/SUM($AD186:$BG186)),IF(SUM($AD188:BA188)&gt;=$AD186," ",AD9-(SUM($AD188:BA188)/(SUM($AD186:$BG186))))))</f>
        <v xml:space="preserve"> </v>
      </c>
      <c r="BB189" s="44" t="str">
        <f ca="1">IF(BB9&gt;WEEKNUM(TODAY())," ", IF(AND(BB10="x",SUM($AD188:BB188)&gt;$AD186),AE9-(SUM($AD188:BB188)/SUM($AD186:$BG186)),IF(SUM($AD188:BB188)&gt;=$AD186," ",AE9-(SUM($AD188:BB188)/(SUM($AD186:$BG186))))))</f>
        <v xml:space="preserve"> </v>
      </c>
      <c r="BC189" s="44" t="str">
        <f ca="1">IF(BC9&gt;WEEKNUM(TODAY())," ", IF(AND(BC10="x",SUM($AD188:BC188)&gt;$AD186),AF9-(SUM($AD188:BC188)/SUM($AD186:$BG186)),IF(SUM($AD188:BC188)&gt;=$AD186," ",AF9-(SUM($AD188:BC188)/(SUM($AD186:$BG186))))))</f>
        <v xml:space="preserve"> </v>
      </c>
      <c r="BD189" s="44" t="str">
        <f ca="1">IF(BD9&gt;WEEKNUM(TODAY())," ", IF(AND(BD10="x",SUM($AD188:BD188)&gt;$AD186),AG9-(SUM($AD188:BD188)/SUM($AD186:$BG186)),IF(SUM($AD188:BD188)&gt;=$AD186," ",AG9-(SUM($AD188:BD188)/(SUM($AD186:$BG186))))))</f>
        <v xml:space="preserve"> </v>
      </c>
      <c r="BE189" s="44" t="str">
        <f ca="1">IF(BE9&gt;WEEKNUM(TODAY())," ", IF(AND(BE10="x",SUM($AD188:BE188)&gt;$AD186),AH9-(SUM($AD188:BE188)/SUM($AD186:$BG186)),IF(SUM($AD188:BE188)&gt;=$AD186," ",AH9-(SUM($AD188:BE188)/(SUM($AD186:$BG186))))))</f>
        <v xml:space="preserve"> </v>
      </c>
      <c r="BF189" s="44" t="str">
        <f ca="1">IF(BF9&gt;WEEKNUM(TODAY())," ", IF(AND(BF10="x",SUM($AD188:BF188)&gt;$AD186),AI9-(SUM($AD188:BF188)/SUM($AD186:$BG186)),IF(SUM($AD188:BF188)&gt;=$AD186," ",AI9-(SUM($AD188:BF188)/(SUM($AD186:$BG186))))))</f>
        <v xml:space="preserve"> </v>
      </c>
      <c r="BG189" s="44" t="str">
        <f ca="1">IF(BG9&gt;WEEKNUM(TODAY())," ", IF(BG10="x",AJ9-(SUM($AD188:BG188)/SUM($AD186:$BG186)),IF(SUM($AD188:BG188)&gt;$AD186," ",AJ9-(SUM($AD188:BG188)/(SUM($AD186:$BG186))))))</f>
        <v xml:space="preserve"> </v>
      </c>
      <c r="BH189" s="21"/>
    </row>
    <row r="190" spans="2:60" ht="16.2" thickBot="1" x14ac:dyDescent="0.35">
      <c r="B190" s="70"/>
      <c r="C190" s="79"/>
      <c r="D190" s="84"/>
      <c r="E190" s="57"/>
      <c r="F190" s="117"/>
      <c r="H190" s="49" t="str">
        <f>IF(H186= " ", " ",IF(H188&gt;SUM($H186:$BG186), " N/A", IF(SUM($H188:$BG188)=SUM($H186:BG186), " ", IF(H188=SUM($H186:BG186), " ", "x"))))</f>
        <v>x</v>
      </c>
      <c r="I190" s="50" t="str">
        <f>IF(SUM($H188:I188) &gt; SUM($H186:I186),  " N/A", IF(SUM($H188:$BG188) = SUM($H186:$BH186),    " ",IF(I188 = SUM($H186:$BH186),  " ",   "x")))</f>
        <v>x</v>
      </c>
      <c r="J190" s="50" t="str">
        <f>IF(SUM($H188:J188) &gt; SUM($H186:J186),  " N/A", IF(SUM($H188:$BG188) = SUM($H186:$BH186),    " ",IF(J188 = SUM($H186:$BH186),  " ",   "x")))</f>
        <v>x</v>
      </c>
      <c r="K190" s="50" t="str">
        <f>IF(SUM($H188:K188) &gt; SUM($H186:K186),  " N/A", IF(SUM($H188:$BG188) = SUM($H186:$BH186),    " ",IF(K188 = SUM($H186:$BH186),  " ",   "x")))</f>
        <v>x</v>
      </c>
      <c r="L190" s="44" t="str">
        <f>IF(SUM($H188:L188) &gt; SUM($H186:L186),  " N/A", IF(SUM($H188:$BG188) = SUM($H151:$BH151),    " ",IF(L188 = SUM($H151:$BH151),  " ",   "x")))</f>
        <v>x</v>
      </c>
      <c r="M190" s="44" t="str">
        <f>IF(SUM($H188:M188) &gt; SUM($H186:M186),  " N/A", IF(SUM($H188:$BG188) = SUM($H151:$BH151),    " ",IF(M188 = SUM($H151:$BH151),  " ",   "x")))</f>
        <v>x</v>
      </c>
      <c r="N190" s="44" t="str">
        <f>IF(SUM($H188:N188) &gt; SUM($H186:N186),  " N/A", IF(SUM($H188:$BG188) = SUM($H151:$BH151),    " ",IF(N188 = SUM($H151:$BH151),  " ",   "x")))</f>
        <v>x</v>
      </c>
      <c r="O190" s="44" t="str">
        <f>IF(SUM($H188:O188) &gt; SUM($H186:O186),  " N/A", IF(SUM($H188:$BG188) = SUM($H151:$BH151),    " ",IF(O188 = SUM($H151:$BH151),  " ",   "x")))</f>
        <v>x</v>
      </c>
      <c r="P190" s="44" t="str">
        <f>IF(SUM($H188:P188) &gt; SUM($H186:P186),  " N/A", IF(SUM($H188:$BG188) = SUM($H151:$BH151),    " ",IF(P188 = SUM($H151:$BH151),  " ",   "x")))</f>
        <v>x</v>
      </c>
      <c r="Q190" s="44" t="str">
        <f>IF(SUM($H188:Q188) &gt; SUM($H186:Q186),  " N/A", IF(SUM($H188:$BG188) = SUM($H151:$BH151),    " ",IF(Q188 = SUM($H151:$BH151),  " ",   "x")))</f>
        <v>x</v>
      </c>
      <c r="R190" s="44" t="str">
        <f>IF(SUM($H188:R188) &gt; SUM($H186:R186),  " N/A", IF(SUM($H188:$BG188) = SUM($H151:$BH151),    " ",IF(R188 = SUM($H151:$BH151),  " ",   "x")))</f>
        <v>x</v>
      </c>
      <c r="S190" s="44" t="str">
        <f>IF(SUM($H188:S188) &gt; SUM($H186:S186),  " N/A", IF(SUM($H188:$BG188) = SUM($H151:$BH151),    " ",IF(S188 = SUM($H151:$BH151),  " ",   "x")))</f>
        <v>x</v>
      </c>
      <c r="T190" s="44" t="str">
        <f>IF(SUM($H188:T188) &gt; SUM($H186:T186),  " N/A", IF(SUM($H188:$BG188) = SUM($H151:$BH151),    " ",IF(T188 = SUM($H151:$BH151),  " ",   "x")))</f>
        <v>x</v>
      </c>
      <c r="U190" s="44" t="str">
        <f>IF(SUM($H188:U188) &gt; SUM($H186:U186),  " N/A", IF(SUM($H188:$BG188) = SUM($H151:$BH151),    " ",IF(U188 = SUM($H151:$BH151),  " ",   "x")))</f>
        <v>x</v>
      </c>
      <c r="V190" s="44" t="str">
        <f>IF(SUM($H188:V188) &gt; SUM($H186:V186),  " N/A", IF(SUM($H188:$BG188) = SUM($H151:$BH151),    " ",IF(V188 = SUM($H151:$BH151),  " ",   "x")))</f>
        <v>x</v>
      </c>
      <c r="W190" s="44" t="str">
        <f>IF(SUM($H188:W188) &gt; SUM($H186:W186),  " N/A", IF(SUM($H188:$BG188) = SUM($H151:$BH151),    " ",IF(W188 = SUM($H151:$BH151),  " ",   "x")))</f>
        <v>x</v>
      </c>
      <c r="X190" s="44" t="str">
        <f>IF(SUM($H188:X188) &gt; SUM($H186:X186),  " N/A", IF(SUM($H188:$BG188) = SUM($H151:$BH151),    " ",IF(X188 = SUM($H151:$BH151),  " ",   "x")))</f>
        <v>x</v>
      </c>
      <c r="Y190" s="44" t="str">
        <f>IF(SUM($H188:Y188) &gt; SUM($H186:Y186),  " N/A", IF(SUM($H188:$BG188) = SUM($H151:$BH151),    " ",IF(Y188 = SUM($H151:$BH151),  " ",   "x")))</f>
        <v>x</v>
      </c>
      <c r="Z190" s="44" t="str">
        <f>IF(SUM($H188:Z188) &gt; SUM($H186:Z186),  " N/A", IF(SUM($H188:$BG188) = SUM($H151:$BH151),    " ",IF(Z188 = SUM($H151:$BH151),  " ",   "x")))</f>
        <v>x</v>
      </c>
      <c r="AA190" s="44" t="str">
        <f>IF(SUM($H188:AA188) &gt; SUM($H186:AA186),  " N/A", IF(SUM($H188:$BG188) = SUM($H151:$BH151),    " ",IF(AA188 = SUM($H151:$BH151),  " ",   "x")))</f>
        <v>x</v>
      </c>
      <c r="AB190" s="44" t="str">
        <f>IF(SUM($H188:AB188) &gt; SUM($H186:AB186),  " N/A", IF(SUM($H188:$BG188) = SUM($H151:$BH151),    " ",IF(AB188 = SUM($H151:$BH151),  " ",   "x")))</f>
        <v>x</v>
      </c>
      <c r="AC190" s="44" t="str">
        <f>IF(SUM($H188:AC188) &gt; SUM($H186:AC186),  " N/A", IF(SUM($H188:$BG188) = SUM($H151:$BH151),    " ",IF(AC188 = SUM($H151:$BH151),  " ",   "x")))</f>
        <v>x</v>
      </c>
      <c r="AD190" s="44" t="str">
        <f>IF(SUM($H188:AD188) &gt; SUM($H186:AD186),  " N/A", IF(SUM($H188:$BG188) = SUM($H151:$BH151),    " ",IF(AD188 = SUM($H151:$BH151),  " ",   "x")))</f>
        <v>x</v>
      </c>
      <c r="AE190" s="44" t="str">
        <f>IF(SUM($H188:AE188) &gt; SUM($H186:AE186),  " N/A", IF(SUM($H188:$BG188) = SUM($H151:$BH151),    " ",IF(AE188 = SUM($H151:$BH151),  " ",   "x")))</f>
        <v>x</v>
      </c>
      <c r="AF190" s="44" t="str">
        <f>IF(SUM($H188:AF188) &gt; SUM($H186:AF186),  " N/A", IF(SUM($H188:$BG188) = SUM($H151:$BH151),    " ",IF(AF188 = SUM($H151:$BH151),  " ",   "x")))</f>
        <v>x</v>
      </c>
      <c r="AG190" s="44" t="str">
        <f>IF(SUM($H188:AG188) &gt; SUM($H186:AG186),  " N/A", IF(SUM($H188:$BG188) = SUM($H151:$BH151),    " ",IF(AG188 = SUM($H151:$BH151),  " ",   "x")))</f>
        <v>x</v>
      </c>
      <c r="AH190" s="44" t="str">
        <f>IF(SUM($H188:AH188) &gt; SUM($H186:AH186),  " N/A", IF(SUM($H188:$BG188) = SUM($H151:$BH151),    " ",IF(AH188 = SUM($H151:$BH151),  " ",   "x")))</f>
        <v>x</v>
      </c>
      <c r="AI190" s="44" t="str">
        <f>IF(SUM($H188:AI188) &gt; SUM($H186:AI186),  " N/A", IF(SUM($H188:$BG188) = SUM($H151:$BH151),    " ",IF(AI188 = SUM($H151:$BH151),  " ",   "x")))</f>
        <v>x</v>
      </c>
      <c r="AJ190" s="44" t="str">
        <f>IF(SUM($H188:AJ188) &gt; SUM($H186:AJ186),  " N/A", IF(SUM($H188:$BG188) = SUM($H151:$BH151),    " ",IF(AJ188 = SUM($H151:$BH151),  " ",   "x")))</f>
        <v>x</v>
      </c>
      <c r="AK190" s="44" t="str">
        <f>IF(SUM($H188:AK188) &gt; SUM($H186:AK186),  " N/A", IF(SUM($H188:$BG188) = SUM($H151:$BH151),    " ",IF(AK188 = SUM($H151:$BH151),  " ",   "x")))</f>
        <v>x</v>
      </c>
      <c r="AL190" s="44" t="str">
        <f>IF(SUM($H188:AL188) &gt; SUM($H186:AL186),  " N/A", IF(SUM($H188:$BG188) = SUM($H151:$BH151),    " ",IF(AL188 = SUM($H151:$BH151),  " ",   "x")))</f>
        <v>x</v>
      </c>
      <c r="AM190" s="44" t="str">
        <f>IF(SUM($H188:AM188) &gt; SUM($H186:AM186),  " N/A", IF(SUM($H188:$BG188) = SUM($H151:$BH151),    " ",IF(AM188 = SUM($H151:$BH151),  " ",   "x")))</f>
        <v>x</v>
      </c>
      <c r="AN190" s="44" t="str">
        <f>IF(SUM($H188:AN188) &gt; SUM($H186:AN186),  " N/A", IF(SUM($H188:$BG188) = SUM($H151:$BH151),    " ",IF(AN188 = SUM($H151:$BH151),  " ",   "x")))</f>
        <v>x</v>
      </c>
      <c r="AO190" s="44" t="str">
        <f>IF(SUM($H188:AO188) &gt; SUM($H186:AO186),  " N/A", IF(SUM($H188:$BG188) = SUM($H151:$BH151),    " ",IF(AO188 = SUM($H151:$BH151),  " ",   "x")))</f>
        <v>x</v>
      </c>
      <c r="AP190" s="44" t="str">
        <f>IF(SUM($H188:AP188) &gt; SUM($H186:AP186),  " N/A", IF(SUM($H188:$BG188) = SUM($H151:$BH151),    " ",IF(AP188 = SUM($H151:$BH151),  " ",   "x")))</f>
        <v>x</v>
      </c>
      <c r="AQ190" s="44" t="str">
        <f>IF(SUM($H188:AQ188) &gt; SUM($H186:AQ186),  " N/A", IF(SUM($H188:$BG188) = SUM($H151:$BH151),    " ",IF(AQ188 = SUM($H151:$BH151),  " ",   "x")))</f>
        <v>x</v>
      </c>
      <c r="AR190" s="44" t="str">
        <f>IF(SUM($H188:AR188) &gt; SUM($H186:AR186),  " N/A", IF(SUM($H188:$BG188) = SUM($H151:$BH151),    " ",IF(AR188 = SUM($H151:$BH151),  " ",   "x")))</f>
        <v>x</v>
      </c>
      <c r="AS190" s="44" t="str">
        <f>IF(SUM($H188:AS188) &gt; SUM($H186:AS186),  " N/A", IF(SUM($H188:$BG188) = SUM($H151:$BH151),    " ",IF(AS188 = SUM($H151:$BH151),  " ",   "x")))</f>
        <v>x</v>
      </c>
      <c r="AT190" s="44" t="str">
        <f>IF(SUM($H188:AT188) &gt; SUM($H186:AT186),  " N/A", IF(SUM($H188:$BG188) = SUM($H151:$BH151),    " ",IF(AT188 = SUM($H151:$BH151),  " ",   "x")))</f>
        <v>x</v>
      </c>
      <c r="AU190" s="44" t="str">
        <f>IF(SUM($H188:AU188) &gt; SUM($H186:AU186),  " N/A", IF(SUM($H188:$BG188) = SUM($H151:$BH151),    " ",IF(AU188 = SUM($H151:$BH151),  " ",   "x")))</f>
        <v>x</v>
      </c>
      <c r="AV190" s="44" t="str">
        <f>IF(SUM($H188:AV188) &gt; SUM($H186:AV186),  " N/A", IF(SUM($H188:$BG188) = SUM($H151:$BH151),    " ",IF(AV188 = SUM($H151:$BH151),  " ",   "x")))</f>
        <v>x</v>
      </c>
      <c r="AW190" s="44" t="str">
        <f>IF(SUM($H188:AW188) &gt; SUM($H186:AW186),  " N/A", IF(SUM($H188:$BG188) = SUM($H151:$BH151),    " ",IF(AW188 = SUM($H151:$BH151),  " ",   "x")))</f>
        <v>x</v>
      </c>
      <c r="AX190" s="44" t="str">
        <f>IF(SUM($H188:AX188) &gt; SUM($H186:AX186),  " N/A", IF(SUM($H188:$BG188) = SUM($H151:$BH151),    " ",IF(AX188 = SUM($H151:$BH151),  " ",   "x")))</f>
        <v>x</v>
      </c>
      <c r="AY190" s="44" t="str">
        <f>IF(SUM($H188:AY188) &gt; SUM($H186:AY186),  " N/A", IF(SUM($H188:$BG188) = SUM($H151:$BH151),    " ",IF(AY188 = SUM($H151:$BH151),  " ",   "x")))</f>
        <v>x</v>
      </c>
      <c r="AZ190" s="44" t="str">
        <f>IF(SUM($H188:AZ188) &gt; SUM($H186:AZ186),  " N/A", IF(SUM($H188:$BG188) = SUM($H151:$BH151),    " ",IF(AZ188 = SUM($H151:$BH151),  " ",   "x")))</f>
        <v>x</v>
      </c>
      <c r="BA190" s="44" t="str">
        <f>IF(SUM($H188:BA188) &gt; SUM($H186:BA186),  " N/A", IF(SUM($H188:$BG188) = SUM($H151:$BH151),    " ",IF(BA188 = SUM($H151:$BH151),  " ",   "x")))</f>
        <v>x</v>
      </c>
      <c r="BB190" s="44" t="str">
        <f>IF(SUM($H188:BB188) &gt; SUM($H186:BB186),  " N/A", IF(SUM($H188:$BG188) = SUM($H151:$BH151),    " ",IF(BB188 = SUM($H151:$BH151),  " ",   "x")))</f>
        <v>x</v>
      </c>
      <c r="BC190" s="44" t="str">
        <f>IF(SUM($H188:BC188) &gt; SUM($H186:BC186),  " N/A", IF(SUM($H188:$BG188) = SUM($H151:$BH151),    " ",IF(BC188 = SUM($H151:$BH151),  " ",   "x")))</f>
        <v>x</v>
      </c>
      <c r="BD190" s="44" t="str">
        <f>IF(SUM($H188:BD188) &gt; SUM($H186:BD186),  " N/A", IF(SUM($H188:$BG188) = SUM($H151:$BH151),    " ",IF(BD188 = SUM($H151:$BH151),  " ",   "x")))</f>
        <v>x</v>
      </c>
      <c r="BE190" s="44" t="str">
        <f>IF(SUM($H188:BE188) &gt; SUM($H186:BE186),  " N/A", IF(SUM($H188:$BG188) = SUM($H151:$BH151),    " ",IF(BE188 = SUM($H151:$BH151),  " ",   "x")))</f>
        <v>x</v>
      </c>
      <c r="BF190" s="44" t="str">
        <f>IF(SUM($H188:BF188) &gt; SUM($H186:BF186),  " N/A", IF(SUM($H188:$BG188) = SUM($H151:$BH151),    " ",IF(BF188 = SUM($H151:$BH151),  " ",   "x")))</f>
        <v>x</v>
      </c>
      <c r="BG190" s="44" t="str">
        <f>IF(SUM($H188:BG188) &gt; SUM($H186:BG186),  " N/A", IF(SUM($H188:$BG188) = SUM($H151:$BH151),    " ",IF(BG188 = SUM($H151:$BH151),  " ",   "x")))</f>
        <v>x</v>
      </c>
      <c r="BH190" s="21"/>
    </row>
    <row r="191" spans="2:60" ht="15.6" x14ac:dyDescent="0.3">
      <c r="B191" s="71"/>
      <c r="C191" s="77"/>
      <c r="D191" s="82" t="s">
        <v>249</v>
      </c>
      <c r="E191" s="54">
        <f>SUM(H191:BG191)</f>
        <v>16</v>
      </c>
      <c r="F191" s="115">
        <f>Gant_24!$E191-E193</f>
        <v>16</v>
      </c>
      <c r="H191" s="41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>
        <v>16</v>
      </c>
      <c r="AE191" s="51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42"/>
      <c r="BB191" s="42"/>
      <c r="BC191" s="42"/>
      <c r="BD191" s="42"/>
      <c r="BE191" s="42"/>
      <c r="BF191" s="42"/>
      <c r="BG191" s="42"/>
      <c r="BH191" s="21"/>
    </row>
    <row r="192" spans="2:60" ht="15.6" x14ac:dyDescent="0.3">
      <c r="B192" s="68"/>
      <c r="C192" s="78"/>
      <c r="D192" s="83" t="s">
        <v>261</v>
      </c>
      <c r="E192" s="55">
        <f>SUM(H192:BG192)</f>
        <v>0</v>
      </c>
      <c r="F192" s="116"/>
      <c r="H192" s="43"/>
      <c r="I192" s="44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  <c r="Z192" s="44"/>
      <c r="AA192" s="44"/>
      <c r="AB192" s="44"/>
      <c r="AC192" s="44"/>
      <c r="AD192" s="44"/>
      <c r="AE192" s="50"/>
      <c r="AF192" s="44"/>
      <c r="AG192" s="44"/>
      <c r="AH192" s="44"/>
      <c r="AI192" s="44"/>
      <c r="AJ192" s="44"/>
      <c r="AK192" s="44"/>
      <c r="AL192" s="44"/>
      <c r="AM192" s="44"/>
      <c r="AN192" s="44"/>
      <c r="AO192" s="44"/>
      <c r="AP192" s="44"/>
      <c r="AQ192" s="44"/>
      <c r="AR192" s="44"/>
      <c r="AS192" s="44"/>
      <c r="AT192" s="44"/>
      <c r="AU192" s="44"/>
      <c r="AV192" s="44"/>
      <c r="AW192" s="44"/>
      <c r="AX192" s="44"/>
      <c r="AY192" s="44"/>
      <c r="AZ192" s="44"/>
      <c r="BA192" s="44"/>
      <c r="BB192" s="44"/>
      <c r="BC192" s="44"/>
      <c r="BD192" s="44"/>
      <c r="BE192" s="44"/>
      <c r="BF192" s="44"/>
      <c r="BG192" s="44"/>
      <c r="BH192" s="21"/>
    </row>
    <row r="193" spans="2:60" ht="15.6" x14ac:dyDescent="0.3">
      <c r="B193" s="68" t="s">
        <v>166</v>
      </c>
      <c r="C193" s="78" t="s">
        <v>167</v>
      </c>
      <c r="D193" s="83" t="s">
        <v>241</v>
      </c>
      <c r="E193" s="55">
        <f>SUM(H193:BG193)</f>
        <v>0</v>
      </c>
      <c r="F193" s="116"/>
      <c r="H193" s="45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  <c r="AG193" s="46"/>
      <c r="AH193" s="46"/>
      <c r="AI193" s="46"/>
      <c r="AJ193" s="46"/>
      <c r="AK193" s="46"/>
      <c r="AL193" s="46"/>
      <c r="AM193" s="46"/>
      <c r="AN193" s="46"/>
      <c r="AO193" s="46"/>
      <c r="AP193" s="46"/>
      <c r="AQ193" s="46"/>
      <c r="AR193" s="46"/>
      <c r="AS193" s="46"/>
      <c r="AT193" s="46"/>
      <c r="AU193" s="46"/>
      <c r="AV193" s="46"/>
      <c r="AW193" s="46"/>
      <c r="AX193" s="46"/>
      <c r="AY193" s="46"/>
      <c r="AZ193" s="46"/>
      <c r="BA193" s="46"/>
      <c r="BB193" s="46"/>
      <c r="BC193" s="46"/>
      <c r="BD193" s="46"/>
      <c r="BE193" s="46"/>
      <c r="BF193" s="46"/>
      <c r="BG193" s="46"/>
      <c r="BH193" s="21"/>
    </row>
    <row r="194" spans="2:60" ht="15.6" x14ac:dyDescent="0.3">
      <c r="B194" s="68"/>
      <c r="C194" s="78"/>
      <c r="D194" s="83" t="s">
        <v>278</v>
      </c>
      <c r="E194" s="56">
        <f ca="1">MAX(H194:BG194)</f>
        <v>0</v>
      </c>
      <c r="F194" s="116"/>
      <c r="H194" s="47"/>
      <c r="I194" s="48"/>
      <c r="J194" s="48"/>
      <c r="K194" s="48"/>
      <c r="L194" s="44"/>
      <c r="M194" s="44"/>
      <c r="N194" s="44"/>
      <c r="O194" s="44"/>
      <c r="P194" s="44"/>
      <c r="Q194" s="44"/>
      <c r="R194" s="44"/>
      <c r="S194" s="44"/>
      <c r="T194" s="44"/>
      <c r="U194" s="44"/>
      <c r="V194" s="44"/>
      <c r="W194" s="44"/>
      <c r="X194" s="44"/>
      <c r="Y194" s="44"/>
      <c r="Z194" s="44"/>
      <c r="AA194" s="44"/>
      <c r="AB194" s="44"/>
      <c r="AC194" s="44"/>
      <c r="AD194" s="44" t="str">
        <f>IF(SUM(H191:BG191) = AD193, " 0 ", " ")</f>
        <v xml:space="preserve"> </v>
      </c>
      <c r="AE194" s="44" t="str">
        <f ca="1">IF(AE9&gt;WEEKNUM(TODAY())," ", IF(AND(AE10="x",SUM($AD193:AE193)&gt;$AD191),H9-(SUM($AD193:AE193)/SUM($AD191:$BG191)),IF(SUM($AD193:AE193)&gt;=$AD191," ",H9-(SUM($AD193:AE193)/(SUM($AD191:$BG191))))))</f>
        <v xml:space="preserve"> </v>
      </c>
      <c r="AF194" s="44" t="str">
        <f ca="1">IF(AF9&gt;WEEKNUM(TODAY())," ", IF(AND(AF10="x",SUM($AD193:AF193)&gt;$AD191),I9-(SUM($AD193:AF193)/SUM($AD191:$BG191)),IF(SUM($AD193:AF193)&gt;=$AD191," ",I9-(SUM($AD193:AF193)/(SUM($AD191:$BG191))))))</f>
        <v xml:space="preserve"> </v>
      </c>
      <c r="AG194" s="44" t="str">
        <f ca="1">IF(AG9&gt;WEEKNUM(TODAY())," ", IF(AND(AG10="x",SUM($AD193:AG193)&gt;$AD191),J9-(SUM($AD193:AG193)/SUM($AD191:$BG191)),IF(SUM($AD193:AG193)&gt;=$AD191," ",J9-(SUM($AD193:AG193)/(SUM($AD191:$BG191))))))</f>
        <v xml:space="preserve"> </v>
      </c>
      <c r="AH194" s="44" t="str">
        <f ca="1">IF(AH9&gt;WEEKNUM(TODAY())," ", IF(AND(AH10="x",SUM($AD193:AH193)&gt;$AD191),K9-(SUM($AD193:AH193)/SUM($AD191:$BG191)),IF(SUM($AD193:AH193)&gt;=$AD191," ",K9-(SUM($AD193:AH193)/(SUM($AD191:$BG191))))))</f>
        <v xml:space="preserve"> </v>
      </c>
      <c r="AI194" s="44" t="str">
        <f ca="1">IF(AI9&gt;WEEKNUM(TODAY())," ", IF(AND(AI10="x",SUM($AD193:AI193)&gt;$AD191),L9-(SUM($AD193:AI193)/SUM($AD191:$BG191)),IF(SUM($AD193:AI193)&gt;=$AD191," ",L9-(SUM($AD193:AI193)/(SUM($AD191:$BG191))))))</f>
        <v xml:space="preserve"> </v>
      </c>
      <c r="AJ194" s="44" t="str">
        <f ca="1">IF(AJ9&gt;WEEKNUM(TODAY())," ", IF(AND(AJ10="x",SUM($AD193:AJ193)&gt;$AD191),M9-(SUM($AD193:AJ193)/SUM($AD191:$BG191)),IF(SUM($AD193:AJ193)&gt;=$AD191," ",M9-(SUM($AD193:AJ193)/(SUM($AD191:$BG191))))))</f>
        <v xml:space="preserve"> </v>
      </c>
      <c r="AK194" s="44" t="str">
        <f ca="1">IF(AK9&gt;WEEKNUM(TODAY())," ", IF(AND(AK10="x",SUM($AD193:AK193)&gt;$AD191),N9-(SUM($AD193:AK193)/SUM($AD191:$BG191)),IF(SUM($AD193:AK193)&gt;=$AD191," ",N9-(SUM($AD193:AK193)/(SUM($AD191:$BG191))))))</f>
        <v xml:space="preserve"> </v>
      </c>
      <c r="AL194" s="44" t="str">
        <f ca="1">IF(AL9&gt;WEEKNUM(TODAY())," ", IF(AND(AL10="x",SUM($AD193:AL193)&gt;$AD191),O9-(SUM($AD193:AL193)/SUM($AD191:$BG191)),IF(SUM($AD193:AL193)&gt;=$AD191," ",O9-(SUM($AD193:AL193)/(SUM($AD191:$BG191))))))</f>
        <v xml:space="preserve"> </v>
      </c>
      <c r="AM194" s="44" t="str">
        <f ca="1">IF(AM9&gt;WEEKNUM(TODAY())," ", IF(AND(AM10="x",SUM($AD193:AM193)&gt;$AD191),P9-(SUM($AD193:AM193)/SUM($AD191:$BG191)),IF(SUM($AD193:AM193)&gt;=$AD191," ",P9-(SUM($AD193:AM193)/(SUM($AD191:$BG191))))))</f>
        <v xml:space="preserve"> </v>
      </c>
      <c r="AN194" s="44" t="str">
        <f ca="1">IF(AN9&gt;WEEKNUM(TODAY())," ", IF(AND(AN10="x",SUM($AD193:AN193)&gt;$AD191),Q9-(SUM($AD193:AN193)/SUM($AD191:$BG191)),IF(SUM($AD193:AN193)&gt;=$AD191," ",Q9-(SUM($AD193:AN193)/(SUM($AD191:$BG191))))))</f>
        <v xml:space="preserve"> </v>
      </c>
      <c r="AO194" s="44" t="str">
        <f ca="1">IF(AO9&gt;WEEKNUM(TODAY())," ", IF(AND(AO10="x",SUM($AD193:AO193)&gt;$AD191),R9-(SUM($AD193:AO193)/SUM($AD191:$BG191)),IF(SUM($AD193:AO193)&gt;=$AD191," ",R9-(SUM($AD193:AO193)/(SUM($AD191:$BG191))))))</f>
        <v xml:space="preserve"> </v>
      </c>
      <c r="AP194" s="44" t="str">
        <f ca="1">IF(AP9&gt;WEEKNUM(TODAY())," ", IF(AND(AP10="x",SUM($AD193:AP193)&gt;$AD191),S9-(SUM($AD193:AP193)/SUM($AD191:$BG191)),IF(SUM($AD193:AP193)&gt;=$AD191," ",S9-(SUM($AD193:AP193)/(SUM($AD191:$BG191))))))</f>
        <v xml:space="preserve"> </v>
      </c>
      <c r="AQ194" s="44" t="str">
        <f ca="1">IF(AQ9&gt;WEEKNUM(TODAY())," ", IF(AND(AQ10="x",SUM($AD193:AQ193)&gt;$AD191),T9-(SUM($AD193:AQ193)/SUM($AD191:$BG191)),IF(SUM($AD193:AQ193)&gt;=$AD191," ",T9-(SUM($AD193:AQ193)/(SUM($AD191:$BG191))))))</f>
        <v xml:space="preserve"> </v>
      </c>
      <c r="AR194" s="44" t="str">
        <f ca="1">IF(AR9&gt;WEEKNUM(TODAY())," ", IF(AND(AR10="x",SUM($AD193:AR193)&gt;$AD191),U9-(SUM($AD193:AR193)/SUM($AD191:$BG191)),IF(SUM($AD193:AR193)&gt;=$AD191," ",U9-(SUM($AD193:AR193)/(SUM($AD191:$BG191))))))</f>
        <v xml:space="preserve"> </v>
      </c>
      <c r="AS194" s="44" t="str">
        <f ca="1">IF(AS9&gt;WEEKNUM(TODAY())," ", IF(AND(AS10="x",SUM($AD193:AS193)&gt;$AD191),V9-(SUM($AD193:AS193)/SUM($AD191:$BG191)),IF(SUM($AD193:AS193)&gt;=$AD191," ",V9-(SUM($AD193:AS193)/(SUM($AD191:$BG191))))))</f>
        <v xml:space="preserve"> </v>
      </c>
      <c r="AT194" s="44" t="str">
        <f ca="1">IF(AT9&gt;WEEKNUM(TODAY())," ", IF(AND(AT10="x",SUM($AD193:AT193)&gt;$AD191),W9-(SUM($AD193:AT193)/SUM($AD191:$BG191)),IF(SUM($AD193:AT193)&gt;=$AD191," ",W9-(SUM($AD193:AT193)/(SUM($AD191:$BG191))))))</f>
        <v xml:space="preserve"> </v>
      </c>
      <c r="AU194" s="44" t="str">
        <f ca="1">IF(AU9&gt;WEEKNUM(TODAY())," ", IF(AND(AU10="x",SUM($AD193:AU193)&gt;$AD191),X9-(SUM($AD193:AU193)/SUM($AD191:$BG191)),IF(SUM($AD193:AU193)&gt;=$AD191," ",X9-(SUM($AD193:AU193)/(SUM($AD191:$BG191))))))</f>
        <v xml:space="preserve"> </v>
      </c>
      <c r="AV194" s="44" t="str">
        <f ca="1">IF(AV9&gt;WEEKNUM(TODAY())," ", IF(AND(AV10="x",SUM($AD193:AV193)&gt;$AD191),Y9-(SUM($AD193:AV193)/SUM($AD191:$BG191)),IF(SUM($AD193:AV193)&gt;=$AD191," ",Y9-(SUM($AD193:AV193)/(SUM($AD191:$BG191))))))</f>
        <v xml:space="preserve"> </v>
      </c>
      <c r="AW194" s="44" t="str">
        <f ca="1">IF(AW9&gt;WEEKNUM(TODAY())," ", IF(AND(AW10="x",SUM($AD193:AW193)&gt;$AD191),Z9-(SUM($AD193:AW193)/SUM($AD191:$BG191)),IF(SUM($AD193:AW193)&gt;=$AD191," ",Z9-(SUM($AD193:AW193)/(SUM($AD191:$BG191))))))</f>
        <v xml:space="preserve"> </v>
      </c>
      <c r="AX194" s="44" t="str">
        <f ca="1">IF(AX9&gt;WEEKNUM(TODAY())," ", IF(AND(AX10="x",SUM($AD193:AX193)&gt;$AD191),AA9-(SUM($AD193:AX193)/SUM($AD191:$BG191)),IF(SUM($AD193:AX193)&gt;=$AD191," ",AA9-(SUM($AD193:AX193)/(SUM($AD191:$BG191))))))</f>
        <v xml:space="preserve"> </v>
      </c>
      <c r="AY194" s="44" t="str">
        <f ca="1">IF(AY9&gt;WEEKNUM(TODAY())," ", IF(AND(AY10="x",SUM($AD193:AY193)&gt;$AD191),AB9-(SUM($AD193:AY193)/SUM($AD191:$BG191)),IF(SUM($AD193:AY193)&gt;=$AD191," ",AB9-(SUM($AD193:AY193)/(SUM($AD191:$BG191))))))</f>
        <v xml:space="preserve"> </v>
      </c>
      <c r="AZ194" s="44" t="str">
        <f ca="1">IF(AZ9&gt;WEEKNUM(TODAY())," ", IF(AND(AZ10="x",SUM($AD193:AZ193)&gt;$AD191),AC9-(SUM($AD193:AZ193)/SUM($AD191:$BG191)),IF(SUM($AD193:AZ193)&gt;=$AD191," ",AC9-(SUM($AD193:AZ193)/(SUM($AD191:$BG191))))))</f>
        <v xml:space="preserve"> </v>
      </c>
      <c r="BA194" s="44" t="str">
        <f ca="1">IF(BA9&gt;WEEKNUM(TODAY())," ", IF(AND(BA10="x",SUM($AD193:BA193)&gt;$AD191),AD9-(SUM($AD193:BA193)/SUM($AD191:$BG191)),IF(SUM($AD193:BA193)&gt;=$AD191," ",AD9-(SUM($AD193:BA193)/(SUM($AD191:$BG191))))))</f>
        <v xml:space="preserve"> </v>
      </c>
      <c r="BB194" s="44" t="str">
        <f ca="1">IF(BB9&gt;WEEKNUM(TODAY())," ", IF(AND(BB10="x",SUM($AD193:BB193)&gt;$AD191),AE9-(SUM($AD193:BB193)/SUM($AD191:$BG191)),IF(SUM($AD193:BB193)&gt;=$AD191," ",AE9-(SUM($AD193:BB193)/(SUM($AD191:$BG191))))))</f>
        <v xml:space="preserve"> </v>
      </c>
      <c r="BC194" s="44" t="str">
        <f ca="1">IF(BC9&gt;WEEKNUM(TODAY())," ", IF(AND(BC10="x",SUM($AD193:BC193)&gt;$AD191),AF9-(SUM($AD193:BC193)/SUM($AD191:$BG191)),IF(SUM($AD193:BC193)&gt;=$AD191," ",AF9-(SUM($AD193:BC193)/(SUM($AD191:$BG191))))))</f>
        <v xml:space="preserve"> </v>
      </c>
      <c r="BD194" s="44" t="str">
        <f ca="1">IF(BD9&gt;WEEKNUM(TODAY())," ", IF(AND(BD10="x",SUM($AD193:BD193)&gt;$AD191),AG9-(SUM($AD193:BD193)/SUM($AD191:$BG191)),IF(SUM($AD193:BD193)&gt;=$AD191," ",AG9-(SUM($AD193:BD193)/(SUM($AD191:$BG191))))))</f>
        <v xml:space="preserve"> </v>
      </c>
      <c r="BE194" s="44" t="str">
        <f ca="1">IF(BE9&gt;WEEKNUM(TODAY())," ", IF(AND(BE10="x",SUM($AD193:BE193)&gt;$AD191),AH9-(SUM($AD193:BE193)/SUM($AD191:$BG191)),IF(SUM($AD193:BE193)&gt;=$AD191," ",AH9-(SUM($AD193:BE193)/(SUM($AD191:$BG191))))))</f>
        <v xml:space="preserve"> </v>
      </c>
      <c r="BF194" s="44" t="str">
        <f ca="1">IF(BF9&gt;WEEKNUM(TODAY())," ", IF(AND(BF10="x",SUM($AD193:BF193)&gt;$AD191),AI9-(SUM($AD193:BF193)/SUM($AD191:$BG191)),IF(SUM($AD193:BF193)&gt;=$AD191," ",AI9-(SUM($AD193:BF193)/(SUM($AD191:$BG191))))))</f>
        <v xml:space="preserve"> </v>
      </c>
      <c r="BG194" s="44" t="str">
        <f ca="1">IF(BG9&gt;WEEKNUM(TODAY())," ", IF(AND(BG10="x",SUM($AD193:BG193)&gt;$AD191),AJ9-(SUM($AD193:BG193)/SUM($AD191:$BG191)),IF(SUM($AD193:BG193)&gt;=$AD191," ",AJ9-(SUM($AD193:BG193)/(SUM($AD191:$BG191))))))</f>
        <v xml:space="preserve"> </v>
      </c>
      <c r="BH194" s="21"/>
    </row>
    <row r="195" spans="2:60" ht="16.2" thickBot="1" x14ac:dyDescent="0.35">
      <c r="B195" s="70"/>
      <c r="C195" s="79"/>
      <c r="D195" s="84"/>
      <c r="E195" s="57"/>
      <c r="F195" s="117"/>
      <c r="H195" s="49" t="str">
        <f>IF(H191= " ", " ",IF(H193&gt;SUM($H191:$BG191), " N/A", IF(SUM($H193:$BG193)=SUM($H191:BG191), " ", IF(H193=SUM($H191:BG191), " ", "x"))))</f>
        <v>x</v>
      </c>
      <c r="I195" s="50" t="str">
        <f>IF(SUM($H193:I193) &gt; SUM($H191:I191),  " N/A", IF(SUM($H193:$BG193) = SUM($H191:$BH191),    " ",IF(I193 = SUM($H191:$BH191),  " ",   "x")))</f>
        <v>x</v>
      </c>
      <c r="J195" s="50" t="str">
        <f>IF(SUM($H193:J193) &gt; SUM($H191:J191),  " N/A", IF(SUM($H193:$BG193) = SUM($H191:$BH191),    " ",IF(J193 = SUM($H191:$BH191),  " ",   "x")))</f>
        <v>x</v>
      </c>
      <c r="K195" s="50" t="str">
        <f>IF(SUM($H193:K193) &gt; SUM($H191:K191),  " N/A", IF(SUM($H193:$BG193) = SUM($H191:$BH191),    " ",IF(K193 = SUM($H191:$BH191),  " ",   "x")))</f>
        <v>x</v>
      </c>
      <c r="L195" s="50" t="str">
        <f>IF(SUM($H193:L193) &gt; SUM($H191:L191),  " N/A", IF(SUM($H193:$BG193) = SUM($H191:$BH191),    " ",IF(L193 = SUM($H191:$BH191),  " ",   "x")))</f>
        <v>x</v>
      </c>
      <c r="M195" s="50" t="str">
        <f>IF(SUM($H193:M193) &gt; SUM($H191:M191),  " N/A", IF(SUM($H193:$BG193) = SUM($H191:$BH191),    " ",IF(M193 = SUM($H191:$BH191),  " ",   "x")))</f>
        <v>x</v>
      </c>
      <c r="N195" s="50" t="str">
        <f>IF(SUM($H193:N193) &gt; SUM($H191:N191),  " N/A", IF(SUM($H193:$BG193) = SUM($H191:$BH191),    " ",IF(N193 = SUM($H191:$BH191),  " ",   "x")))</f>
        <v>x</v>
      </c>
      <c r="O195" s="50" t="str">
        <f>IF(SUM($H193:O193) &gt; SUM($H191:O191),  " N/A", IF(SUM($H193:$BG193) = SUM($H191:$BH191),    " ",IF(O193 = SUM($H191:$BH191),  " ",   "x")))</f>
        <v>x</v>
      </c>
      <c r="P195" s="50" t="str">
        <f>IF(SUM($H193:P193) &gt; SUM($H191:P191),  " N/A", IF(SUM($H193:$BG193) = SUM($H191:$BH191),    " ",IF(P193 = SUM($H191:$BH191),  " ",   "x")))</f>
        <v>x</v>
      </c>
      <c r="Q195" s="50" t="str">
        <f>IF(SUM($H193:Q193) &gt; SUM($H191:Q191),  " N/A", IF(SUM($H193:$BG193) = SUM($H191:$BH191),    " ",IF(Q193 = SUM($H191:$BH191),  " ",   "x")))</f>
        <v>x</v>
      </c>
      <c r="R195" s="50" t="str">
        <f>IF(SUM($H193:R193) &gt; SUM($H191:R191),  " N/A", IF(SUM($H193:$BG193) = SUM($H191:$BH191),    " ",IF(R193 = SUM($H191:$BH191),  " ",   "x")))</f>
        <v>x</v>
      </c>
      <c r="S195" s="50" t="str">
        <f>IF(SUM($H193:S193) &gt; SUM($H191:S191),  " N/A", IF(SUM($H193:$BG193) = SUM($H191:$BH191),    " ",IF(S193 = SUM($H191:$BH191),  " ",   "x")))</f>
        <v>x</v>
      </c>
      <c r="T195" s="50" t="str">
        <f>IF(SUM($H193:T193) &gt; SUM($H191:T191),  " N/A", IF(SUM($H193:$BG193) = SUM($H191:$BH191),    " ",IF(T193 = SUM($H191:$BH191),  " ",   "x")))</f>
        <v>x</v>
      </c>
      <c r="U195" s="50" t="str">
        <f>IF(SUM($H193:U193) &gt; SUM($H191:U191),  " N/A", IF(SUM($H193:$BG193) = SUM($H191:$BH191),    " ",IF(U193 = SUM($H191:$BH191),  " ",   "x")))</f>
        <v>x</v>
      </c>
      <c r="V195" s="50" t="str">
        <f>IF(SUM($H193:V193) &gt; SUM($H191:V191),  " N/A", IF(SUM($H193:$BG193) = SUM($H191:$BH191),    " ",IF(V193 = SUM($H191:$BH191),  " ",   "x")))</f>
        <v>x</v>
      </c>
      <c r="W195" s="50" t="str">
        <f>IF(SUM($H193:W193) &gt; SUM($H191:W191),  " N/A", IF(SUM($H193:$BG193) = SUM($H191:$BH191),    " ",IF(W193 = SUM($H191:$BH191),  " ",   "x")))</f>
        <v>x</v>
      </c>
      <c r="X195" s="50" t="str">
        <f>IF(SUM($H193:X193) &gt; SUM($H191:X191),  " N/A", IF(SUM($H193:$BG193) = SUM($H191:$BH191),    " ",IF(X193 = SUM($H191:$BH191),  " ",   "x")))</f>
        <v>x</v>
      </c>
      <c r="Y195" s="50" t="str">
        <f>IF(SUM($H193:Y193) &gt; SUM($H191:Y191),  " N/A", IF(SUM($H193:$BG193) = SUM($H191:$BH191),    " ",IF(Y193 = SUM($H191:$BH191),  " ",   "x")))</f>
        <v>x</v>
      </c>
      <c r="Z195" s="50" t="str">
        <f>IF(SUM($H193:Z193) &gt; SUM($H191:Z191),  " N/A", IF(SUM($H193:$BG193) = SUM($H191:$BH191),    " ",IF(Z193 = SUM($H191:$BH191),  " ",   "x")))</f>
        <v>x</v>
      </c>
      <c r="AA195" s="50" t="str">
        <f>IF(SUM($H193:AA193) &gt; SUM($H191:AA191),  " N/A", IF(SUM($H193:$BG193) = SUM($H191:$BH191),    " ",IF(AA193 = SUM($H191:$BH191),  " ",   "x")))</f>
        <v>x</v>
      </c>
      <c r="AB195" s="50" t="str">
        <f>IF(SUM($H193:AB193) &gt; SUM($H191:AB191),  " N/A", IF(SUM($H193:$BG193) = SUM($H191:$BH191),    " ",IF(AB193 = SUM($H191:$BH191),  " ",   "x")))</f>
        <v>x</v>
      </c>
      <c r="AC195" s="50" t="str">
        <f>IF(SUM($H193:AC193) &gt; SUM($H191:AC191),  " N/A", IF(SUM($H193:$BG193) = SUM($H191:$BH191),    " ",IF(AC193 = SUM($H191:$BH191),  " ",   "x")))</f>
        <v>x</v>
      </c>
      <c r="AD195" s="50" t="str">
        <f>IF(SUM($H193:AD193) &gt; SUM($H191:AD191),  " N/A", IF(SUM($H193:$BG193) = SUM($H191:$BH191),    " ",IF(AD193 = SUM($H191:$BH191),  " ",   "x")))</f>
        <v>x</v>
      </c>
      <c r="AE195" s="50" t="str">
        <f>IF(SUM($H193:AE193) &gt; SUM($H191:AE191),  " N/A", IF(SUM($H193:$BG193) = SUM($H191:$BH191),    " ",IF(AE193 = SUM($H191:$BH191),  " ",   "x")))</f>
        <v>x</v>
      </c>
      <c r="AF195" s="50" t="str">
        <f>IF(SUM($H193:AF193) &gt; SUM($H191:AF191),  " N/A", IF(SUM($H193:$BG193) = SUM($H191:$BH191),    " ",IF(AF193 = SUM($H191:$BH191),  " ",   "x")))</f>
        <v>x</v>
      </c>
      <c r="AG195" s="50" t="str">
        <f>IF(SUM($H193:AG193) &gt; SUM($H191:AG191),  " N/A", IF(SUM($H193:$BG193) = SUM($H191:$BH191),    " ",IF(AG193 = SUM($H191:$BH191),  " ",   "x")))</f>
        <v>x</v>
      </c>
      <c r="AH195" s="50" t="str">
        <f>IF(SUM($H193:AH193) &gt; SUM($H191:AH191),  " N/A", IF(SUM($H193:$BG193) = SUM($H191:$BH191),    " ",IF(AH193 = SUM($H191:$BH191),  " ",   "x")))</f>
        <v>x</v>
      </c>
      <c r="AI195" s="50" t="str">
        <f>IF(SUM($H193:AI193) &gt; SUM($H191:AI191),  " N/A", IF(SUM($H193:$BG193) = SUM($H191:$BH191),    " ",IF(AI193 = SUM($H191:$BH191),  " ",   "x")))</f>
        <v>x</v>
      </c>
      <c r="AJ195" s="50" t="str">
        <f>IF(SUM($H193:AJ193) &gt; SUM($H191:AJ191),  " N/A", IF(SUM($H193:$BG193) = SUM($H191:$BH191),    " ",IF(AJ193 = SUM($H191:$BH191),  " ",   "x")))</f>
        <v>x</v>
      </c>
      <c r="AK195" s="50" t="str">
        <f>IF(SUM($H193:AK193) &gt; SUM($H191:AK191),  " N/A", IF(SUM($H193:$BG193) = SUM($H191:$BH191),    " ",IF(AK193 = SUM($H191:$BH191),  " ",   "x")))</f>
        <v>x</v>
      </c>
      <c r="AL195" s="50" t="str">
        <f>IF(SUM($H193:AL193) &gt; SUM($H191:AL191),  " N/A", IF(SUM($H193:$BG193) = SUM($H191:$BH191),    " ",IF(AL193 = SUM($H191:$BH191),  " ",   "x")))</f>
        <v>x</v>
      </c>
      <c r="AM195" s="50" t="str">
        <f>IF(SUM($H193:AM193) &gt; SUM($H191:AM191),  " N/A", IF(SUM($H193:$BG193) = SUM($H191:$BH191),    " ",IF(AM193 = SUM($H191:$BH191),  " ",   "x")))</f>
        <v>x</v>
      </c>
      <c r="AN195" s="50" t="str">
        <f>IF(SUM($H193:AN193) &gt; SUM($H191:AN191),  " N/A", IF(SUM($H193:$BG193) = SUM($H191:$BH191),    " ",IF(AN193 = SUM($H191:$BH191),  " ",   "x")))</f>
        <v>x</v>
      </c>
      <c r="AO195" s="50" t="str">
        <f>IF(SUM($H193:AO193) &gt; SUM($H191:AO191),  " N/A", IF(SUM($H193:$BG193) = SUM($H191:$BH191),    " ",IF(AO193 = SUM($H191:$BH191),  " ",   "x")))</f>
        <v>x</v>
      </c>
      <c r="AP195" s="50" t="str">
        <f>IF(SUM($H193:AP193) &gt; SUM($H191:AP191),  " N/A", IF(SUM($H193:$BG193) = SUM($H191:$BH191),    " ",IF(AP193 = SUM($H191:$BH191),  " ",   "x")))</f>
        <v>x</v>
      </c>
      <c r="AQ195" s="50" t="str">
        <f>IF(SUM($H193:AQ193) &gt; SUM($H191:AQ191),  " N/A", IF(SUM($H193:$BG193) = SUM($H191:$BH191),    " ",IF(AQ193 = SUM($H191:$BH191),  " ",   "x")))</f>
        <v>x</v>
      </c>
      <c r="AR195" s="50" t="str">
        <f>IF(SUM($H193:AR193) &gt; SUM($H191:AR191),  " N/A", IF(SUM($H193:$BG193) = SUM($H191:$BH191),    " ",IF(AR193 = SUM($H191:$BH191),  " ",   "x")))</f>
        <v>x</v>
      </c>
      <c r="AS195" s="50" t="str">
        <f>IF(SUM($H193:AS193) &gt; SUM($H191:AS191),  " N/A", IF(SUM($H193:$BG193) = SUM($H191:$BH191),    " ",IF(AS193 = SUM($H191:$BH191),  " ",   "x")))</f>
        <v>x</v>
      </c>
      <c r="AT195" s="50" t="str">
        <f>IF(SUM($H193:AT193) &gt; SUM($H191:AT191),  " N/A", IF(SUM($H193:$BG193) = SUM($H191:$BH191),    " ",IF(AT193 = SUM($H191:$BH191),  " ",   "x")))</f>
        <v>x</v>
      </c>
      <c r="AU195" s="50" t="str">
        <f>IF(SUM($H193:AU193) &gt; SUM($H191:AU191),  " N/A", IF(SUM($H193:$BG193) = SUM($H191:$BH191),    " ",IF(AU193 = SUM($H191:$BH191),  " ",   "x")))</f>
        <v>x</v>
      </c>
      <c r="AV195" s="50" t="str">
        <f>IF(SUM($H193:AV193) &gt; SUM($H191:AV191),  " N/A", IF(SUM($H193:$BG193) = SUM($H191:$BH191),    " ",IF(AV193 = SUM($H191:$BH191),  " ",   "x")))</f>
        <v>x</v>
      </c>
      <c r="AW195" s="50" t="str">
        <f>IF(SUM($H193:AW193) &gt; SUM($H191:AW191),  " N/A", IF(SUM($H193:$BG193) = SUM($H191:$BH191),    " ",IF(AW193 = SUM($H191:$BH191),  " ",   "x")))</f>
        <v>x</v>
      </c>
      <c r="AX195" s="50" t="str">
        <f>IF(SUM($H193:AX193) &gt; SUM($H191:AX191),  " N/A", IF(SUM($H193:$BG193) = SUM($H191:$BH191),    " ",IF(AX193 = SUM($H191:$BH191),  " ",   "x")))</f>
        <v>x</v>
      </c>
      <c r="AY195" s="50" t="str">
        <f>IF(SUM($H193:AY193) &gt; SUM($H191:AY191),  " N/A", IF(SUM($H193:$BG193) = SUM($H191:$BH191),    " ",IF(AY193 = SUM($H191:$BH191),  " ",   "x")))</f>
        <v>x</v>
      </c>
      <c r="AZ195" s="50" t="str">
        <f>IF(SUM($H193:AZ193) &gt; SUM($H191:AZ191),  " N/A", IF(SUM($H193:$BG193) = SUM($H191:$BH191),    " ",IF(AZ193 = SUM($H191:$BH191),  " ",   "x")))</f>
        <v>x</v>
      </c>
      <c r="BA195" s="50" t="str">
        <f>IF(SUM($H193:BA193) &gt; SUM($H191:BA191),  " N/A", IF(SUM($H193:$BG193) = SUM($H191:$BH191),    " ",IF(BA193 = SUM($H191:$BH191),  " ",   "x")))</f>
        <v>x</v>
      </c>
      <c r="BB195" s="50" t="str">
        <f>IF(SUM($H193:BB193) &gt; SUM($H191:BB191),  " N/A", IF(SUM($H193:$BG193) = SUM($H191:$BH191),    " ",IF(BB193 = SUM($H191:$BH191),  " ",   "x")))</f>
        <v>x</v>
      </c>
      <c r="BC195" s="50" t="str">
        <f>IF(SUM($H193:BC193) &gt; SUM($H191:BC191),  " N/A", IF(SUM($H193:$BG193) = SUM($H191:$BH191),    " ",IF(BC193 = SUM($H191:$BH191),  " ",   "x")))</f>
        <v>x</v>
      </c>
      <c r="BD195" s="50" t="str">
        <f>IF(SUM($H193:BD193) &gt; SUM($H191:BD191),  " N/A", IF(SUM($H193:$BG193) = SUM($H191:$BH191),    " ",IF(BD193 = SUM($H191:$BH191),  " ",   "x")))</f>
        <v>x</v>
      </c>
      <c r="BE195" s="50" t="str">
        <f>IF(SUM($H193:BE193) &gt; SUM($H191:BE191),  " N/A", IF(SUM($H193:$BG193) = SUM($H191:$BH191),    " ",IF(BE193 = SUM($H191:$BH191),  " ",   "x")))</f>
        <v>x</v>
      </c>
      <c r="BF195" s="50" t="str">
        <f>IF(SUM($H193:BF193) &gt; SUM($H191:BF191),  " N/A", IF(SUM($H193:$BG193) = SUM($H191:$BH191),    " ",IF(BF193 = SUM($H191:$BH191),  " ",   "x")))</f>
        <v>x</v>
      </c>
      <c r="BG195" s="50" t="str">
        <f>IF(SUM($H193:BG193) &gt; SUM($H191:BG191),  " N/A", IF(SUM($H193:$BG193) = SUM($H191:$BH191),    " ",IF(BG193 = SUM($H191:$BH191),  " ",   "x")))</f>
        <v>x</v>
      </c>
      <c r="BH195" s="21"/>
    </row>
    <row r="196" spans="2:60" ht="15.6" x14ac:dyDescent="0.3">
      <c r="B196" s="71"/>
      <c r="C196" s="77"/>
      <c r="D196" s="82" t="s">
        <v>249</v>
      </c>
      <c r="E196" s="54">
        <f>SUM(H196:BG196)</f>
        <v>16</v>
      </c>
      <c r="F196" s="115">
        <f>Gant_24!$E196-E198</f>
        <v>16</v>
      </c>
      <c r="H196" s="41"/>
      <c r="I196" s="42"/>
      <c r="J196" s="42"/>
      <c r="K196" s="42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>
        <v>16</v>
      </c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  <c r="BC196" s="51"/>
      <c r="BD196" s="51"/>
      <c r="BE196" s="51"/>
      <c r="BF196" s="51"/>
      <c r="BG196" s="51"/>
      <c r="BH196" s="21"/>
    </row>
    <row r="197" spans="2:60" ht="15.6" x14ac:dyDescent="0.3">
      <c r="B197" s="68"/>
      <c r="C197" s="78"/>
      <c r="D197" s="83" t="s">
        <v>261</v>
      </c>
      <c r="E197" s="55">
        <f>SUM(H197:BG197)</f>
        <v>0</v>
      </c>
      <c r="F197" s="116"/>
      <c r="H197" s="43"/>
      <c r="I197" s="44"/>
      <c r="J197" s="44"/>
      <c r="K197" s="44"/>
      <c r="L197" s="50"/>
      <c r="M197" s="50"/>
      <c r="N197" s="50"/>
      <c r="O197" s="50"/>
      <c r="P197" s="50"/>
      <c r="Q197" s="50"/>
      <c r="R197" s="50"/>
      <c r="S197" s="50"/>
      <c r="T197" s="50"/>
      <c r="U197" s="50"/>
      <c r="V197" s="50"/>
      <c r="W197" s="50"/>
      <c r="X197" s="50"/>
      <c r="Y197" s="50"/>
      <c r="Z197" s="50"/>
      <c r="AA197" s="50"/>
      <c r="AB197" s="50"/>
      <c r="AC197" s="50"/>
      <c r="AD197" s="50"/>
      <c r="AE197" s="50"/>
      <c r="AF197" s="50"/>
      <c r="AG197" s="50"/>
      <c r="AH197" s="50"/>
      <c r="AI197" s="50"/>
      <c r="AJ197" s="50"/>
      <c r="AK197" s="50"/>
      <c r="AL197" s="50"/>
      <c r="AM197" s="50"/>
      <c r="AN197" s="50"/>
      <c r="AO197" s="50"/>
      <c r="AP197" s="50"/>
      <c r="AQ197" s="50"/>
      <c r="AR197" s="50"/>
      <c r="AS197" s="50"/>
      <c r="AT197" s="50"/>
      <c r="AU197" s="50"/>
      <c r="AV197" s="50"/>
      <c r="AW197" s="50"/>
      <c r="AX197" s="50"/>
      <c r="AY197" s="50"/>
      <c r="AZ197" s="50"/>
      <c r="BA197" s="50"/>
      <c r="BB197" s="50"/>
      <c r="BC197" s="50"/>
      <c r="BD197" s="50"/>
      <c r="BE197" s="50"/>
      <c r="BF197" s="50"/>
      <c r="BG197" s="50"/>
      <c r="BH197" s="21"/>
    </row>
    <row r="198" spans="2:60" ht="15.6" x14ac:dyDescent="0.3">
      <c r="B198" s="68" t="s">
        <v>169</v>
      </c>
      <c r="C198" s="78" t="s">
        <v>170</v>
      </c>
      <c r="D198" s="83" t="s">
        <v>241</v>
      </c>
      <c r="E198" s="55">
        <f>SUM(H198:BG198)</f>
        <v>0</v>
      </c>
      <c r="F198" s="116"/>
      <c r="H198" s="45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  <c r="AG198" s="46"/>
      <c r="AH198" s="46"/>
      <c r="AI198" s="46"/>
      <c r="AJ198" s="46"/>
      <c r="AK198" s="46"/>
      <c r="AL198" s="46"/>
      <c r="AM198" s="46"/>
      <c r="AN198" s="46"/>
      <c r="AO198" s="46"/>
      <c r="AP198" s="46"/>
      <c r="AQ198" s="46"/>
      <c r="AR198" s="46"/>
      <c r="AS198" s="46"/>
      <c r="AT198" s="46"/>
      <c r="AU198" s="46"/>
      <c r="AV198" s="46"/>
      <c r="AW198" s="46"/>
      <c r="AX198" s="46"/>
      <c r="AY198" s="46"/>
      <c r="AZ198" s="46"/>
      <c r="BA198" s="46"/>
      <c r="BB198" s="46"/>
      <c r="BC198" s="46"/>
      <c r="BD198" s="46"/>
      <c r="BE198" s="46"/>
      <c r="BF198" s="46"/>
      <c r="BG198" s="46"/>
      <c r="BH198" s="21"/>
    </row>
    <row r="199" spans="2:60" ht="15.6" x14ac:dyDescent="0.3">
      <c r="B199" s="68"/>
      <c r="C199" s="78"/>
      <c r="D199" s="83" t="s">
        <v>278</v>
      </c>
      <c r="E199" s="56">
        <f ca="1">MAX(H199:BG199)</f>
        <v>0</v>
      </c>
      <c r="F199" s="116"/>
      <c r="H199" s="47"/>
      <c r="I199" s="48"/>
      <c r="J199" s="48"/>
      <c r="K199" s="48"/>
      <c r="L199" s="50"/>
      <c r="M199" s="50"/>
      <c r="N199" s="50"/>
      <c r="O199" s="50"/>
      <c r="P199" s="50"/>
      <c r="Q199" s="50"/>
      <c r="R199" s="50"/>
      <c r="S199" s="50"/>
      <c r="T199" s="50"/>
      <c r="U199" s="50"/>
      <c r="V199" s="50"/>
      <c r="W199" s="50"/>
      <c r="X199" s="50"/>
      <c r="Y199" s="50"/>
      <c r="Z199" s="50"/>
      <c r="AA199" s="44"/>
      <c r="AB199" s="44"/>
      <c r="AC199" s="44"/>
      <c r="AD199" s="44" t="str">
        <f>IF(SUM(H196:BG196) = AD198, " 0 ", " ")</f>
        <v xml:space="preserve"> </v>
      </c>
      <c r="AE199" s="44" t="str">
        <f ca="1">IF(AE9&gt;WEEKNUM(TODAY())," ", IF(AND(AE10="x",SUM($AD198:AE198)&gt;$AD196),H9-(SUM($AD198:AE198)/SUM($AD196:$BG196)),IF(SUM($AD198:AE198)&gt;=$AD196," ",H9-(SUM($AD198:AE198)/(SUM($AD196:$BG196))))))</f>
        <v xml:space="preserve"> </v>
      </c>
      <c r="AF199" s="44" t="str">
        <f ca="1">IF(AF9&gt;WEEKNUM(TODAY())," ", IF(AND(AF10="x",SUM($AD198:AF198)&gt;$AD196),I9-(SUM($AD198:AF198)/SUM($AD196:$BG196)),IF(SUM($AD198:AF198)&gt;=$AD196," ",I9-(SUM($AD198:AF198)/(SUM($AD196:$BG196))))))</f>
        <v xml:space="preserve"> </v>
      </c>
      <c r="AG199" s="44" t="str">
        <f ca="1">IF(AG9&gt;WEEKNUM(TODAY())," ", IF(AND(AG10="x",SUM($AD198:AG198)&gt;$AD196),J9-(SUM($AD198:AG198)/SUM($AD196:$BG196)),IF(SUM($AD198:AG198)&gt;=$AD196," ",J9-(SUM($AD198:AG198)/(SUM($AD196:$BG196))))))</f>
        <v xml:space="preserve"> </v>
      </c>
      <c r="AH199" s="44" t="str">
        <f ca="1">IF(AH9&gt;WEEKNUM(TODAY())," ", IF(AND(AH10="x",SUM($AD198:AH198)&gt;$AD196),K9-(SUM($AD198:AH198)/SUM($AD196:$BG196)),IF(SUM($AD198:AH198)&gt;=$AD196," ",K9-(SUM($AD198:AH198)/(SUM($AD196:$BG196))))))</f>
        <v xml:space="preserve"> </v>
      </c>
      <c r="AI199" s="44" t="str">
        <f ca="1">IF(AI9&gt;WEEKNUM(TODAY())," ", IF(AND(AI10="x",SUM($AD198:AI198)&gt;$AD196),L9-(SUM($AD198:AI198)/SUM($AD196:$BG196)),IF(SUM($AD198:AI198)&gt;=$AD196," ",L9-(SUM($AD198:AI198)/(SUM($AD196:$BG196))))))</f>
        <v xml:space="preserve"> </v>
      </c>
      <c r="AJ199" s="44" t="str">
        <f ca="1">IF(AJ9&gt;WEEKNUM(TODAY())," ", IF(AND(AJ10="x",SUM($AD198:AJ198)&gt;$AD196),M9-(SUM($AD198:AJ198)/SUM($AD196:$BG196)),IF(SUM($AD198:AJ198)&gt;=$AD196," ",M9-(SUM($AD198:AJ198)/(SUM($AD196:$BG196))))))</f>
        <v xml:space="preserve"> </v>
      </c>
      <c r="AK199" s="44" t="str">
        <f ca="1">IF(AK9&gt;WEEKNUM(TODAY())," ", IF(AND(AK10="x",SUM($AD198:AK198)&gt;$AD196),N9-(SUM($AD198:AK198)/SUM($AD196:$BG196)),IF(SUM($AD198:AK198)&gt;=$AD196," ",N9-(SUM($AD198:AK198)/(SUM($AD196:$BG196))))))</f>
        <v xml:space="preserve"> </v>
      </c>
      <c r="AL199" s="44" t="str">
        <f ca="1">IF(AL9&gt;WEEKNUM(TODAY())," ", IF(AND(AL10="x",SUM($AD198:AL198)&gt;$AD196),O9-(SUM($AD198:AL198)/SUM($AD196:$BG196)),IF(SUM($AD198:AL198)&gt;=$AD196," ",O9-(SUM($AD198:AL198)/(SUM($AD196:$BG196))))))</f>
        <v xml:space="preserve"> </v>
      </c>
      <c r="AM199" s="44" t="str">
        <f ca="1">IF(AM9&gt;WEEKNUM(TODAY())," ", IF(AND(AM10="x",SUM($AD198:AM198)&gt;$AD196),P9-(SUM($AD198:AM198)/SUM($AD196:$BG196)),IF(SUM($AD198:AM198)&gt;=$AD196," ",P9-(SUM($AD198:AM198)/(SUM($AD196:$BG196))))))</f>
        <v xml:space="preserve"> </v>
      </c>
      <c r="AN199" s="44" t="str">
        <f ca="1">IF(AN9&gt;WEEKNUM(TODAY())," ", IF(AND(AN10="x",SUM($AD198:AN198)&gt;$AD196),Q9-(SUM($AD198:AN198)/SUM($AD196:$BG196)),IF(SUM($AD198:AN198)&gt;=$AD196," ",Q9-(SUM($AD198:AN198)/(SUM($AD196:$BG196))))))</f>
        <v xml:space="preserve"> </v>
      </c>
      <c r="AO199" s="44" t="str">
        <f ca="1">IF(AO9&gt;WEEKNUM(TODAY())," ", IF(AND(AO10="x",SUM($AD198:AO198)&gt;$AD196),R9-(SUM($AD198:AO198)/SUM($AD196:$BG196)),IF(SUM($AD198:AO198)&gt;=$AD196," ",R9-(SUM($AD198:AO198)/(SUM($AD196:$BG196))))))</f>
        <v xml:space="preserve"> </v>
      </c>
      <c r="AP199" s="44" t="str">
        <f ca="1">IF(AP9&gt;WEEKNUM(TODAY())," ", IF(AND(AP10="x",SUM($AD198:AP198)&gt;$AD196),S9-(SUM($AD198:AP198)/SUM($AD196:$BG196)),IF(SUM($AD198:AP198)&gt;=$AD196," ",S9-(SUM($AD198:AP198)/(SUM($AD196:$BG196))))))</f>
        <v xml:space="preserve"> </v>
      </c>
      <c r="AQ199" s="44" t="str">
        <f ca="1">IF(AQ9&gt;WEEKNUM(TODAY())," ", IF(AND(AQ10="x",SUM($AD198:AQ198)&gt;$AD196),T9-(SUM($AD198:AQ198)/SUM($AD196:$BG196)),IF(SUM($AD198:AQ198)&gt;=$AD196," ",T9-(SUM($AD198:AQ198)/(SUM($AD196:$BG196))))))</f>
        <v xml:space="preserve"> </v>
      </c>
      <c r="AR199" s="44" t="str">
        <f ca="1">IF(AR9&gt;WEEKNUM(TODAY())," ", IF(AND(AR10="x",SUM($AD198:AR198)&gt;$AD196),U9-(SUM($AD198:AR198)/SUM($AD196:$BG196)),IF(SUM($AD198:AR198)&gt;=$AD196," ",U9-(SUM($AD198:AR198)/(SUM($AD196:$BG196))))))</f>
        <v xml:space="preserve"> </v>
      </c>
      <c r="AS199" s="44" t="str">
        <f ca="1">IF(AS9&gt;WEEKNUM(TODAY())," ", IF(AND(AS10="x",SUM($AD198:AS198)&gt;$AD196),V9-(SUM($AD198:AS198)/SUM($AD196:$BG196)),IF(SUM($AD198:AS198)&gt;=$AD196," ",V9-(SUM($AD198:AS198)/(SUM($AD196:$BG196))))))</f>
        <v xml:space="preserve"> </v>
      </c>
      <c r="AT199" s="44" t="str">
        <f ca="1">IF(AT9&gt;WEEKNUM(TODAY())," ", IF(AND(AT10="x",SUM($AD198:AT198)&gt;$AD196),W9-(SUM($AD198:AT198)/SUM($AD196:$BG196)),IF(SUM($AD198:AT198)&gt;=$AD196," ",W9-(SUM($AD198:AT198)/(SUM($AD196:$BG196))))))</f>
        <v xml:space="preserve"> </v>
      </c>
      <c r="AU199" s="44" t="str">
        <f ca="1">IF(AU9&gt;WEEKNUM(TODAY())," ", IF(AND(AU10="x",SUM($AD198:AU198)&gt;$AD196),X9-(SUM($AD198:AU198)/SUM($AD196:$BG196)),IF(SUM($AD198:AU198)&gt;=$AD196," ",X9-(SUM($AD198:AU198)/(SUM($AD196:$BG196))))))</f>
        <v xml:space="preserve"> </v>
      </c>
      <c r="AV199" s="44" t="str">
        <f ca="1">IF(AV9&gt;WEEKNUM(TODAY())," ", IF(AND(AV10="x",SUM($AD198:AV198)&gt;$AD196),Y9-(SUM($AD198:AV198)/SUM($AD196:$BG196)),IF(SUM($AD198:AV198)&gt;=$AD196," ",Y9-(SUM($AD198:AV198)/(SUM($AD196:$BG196))))))</f>
        <v xml:space="preserve"> </v>
      </c>
      <c r="AW199" s="44" t="str">
        <f ca="1">IF(AW9&gt;WEEKNUM(TODAY())," ", IF(AND(AW10="x",SUM($AD198:AW198)&gt;$AD196),Z9-(SUM($AD198:AW198)/SUM($AD196:$BG196)),IF(SUM($AD198:AW198)&gt;=$AD196," ",Z9-(SUM($AD198:AW198)/(SUM($AD196:$BG196))))))</f>
        <v xml:space="preserve"> </v>
      </c>
      <c r="AX199" s="44" t="str">
        <f ca="1">IF(AX9&gt;WEEKNUM(TODAY())," ", IF(AND(AX10="x",SUM($AD198:AX198)&gt;$AD196),AA9-(SUM($AD198:AX198)/SUM($AD196:$BG196)),IF(SUM($AD198:AX198)&gt;=$AD196," ",AA9-(SUM($AD198:AX198)/(SUM($AD196:$BG196))))))</f>
        <v xml:space="preserve"> </v>
      </c>
      <c r="AY199" s="44" t="str">
        <f ca="1">IF(AY9&gt;WEEKNUM(TODAY())," ", IF(AND(AY10="x",SUM($AD198:AY198)&gt;$AD196),AB9-(SUM($AD198:AY198)/SUM($AD196:$BG196)),IF(SUM($AD198:AY198)&gt;=$AD196," ",AB9-(SUM($AD198:AY198)/(SUM($AD196:$BG196))))))</f>
        <v xml:space="preserve"> </v>
      </c>
      <c r="AZ199" s="44" t="str">
        <f ca="1">IF(AZ9&gt;WEEKNUM(TODAY())," ", IF(AND(AZ10="x",SUM($AD198:AZ198)&gt;$AD196),AC9-(SUM($AD198:AZ198)/SUM($AD196:$BG196)),IF(SUM($AD198:AZ198)&gt;=$AD196," ",AC9-(SUM($AD198:AZ198)/(SUM($AD196:$BG196))))))</f>
        <v xml:space="preserve"> </v>
      </c>
      <c r="BA199" s="44" t="str">
        <f ca="1">IF(BA9&gt;WEEKNUM(TODAY())," ", IF(AND(BA10="x",SUM($AD198:BA198)&gt;$AD196),AD9-(SUM($AD198:BA198)/SUM($AD196:$BG196)),IF(SUM($AD198:BA198)&gt;=$AD196," ",AD9-(SUM($AD198:BA198)/(SUM($AD196:$BG196))))))</f>
        <v xml:space="preserve"> </v>
      </c>
      <c r="BB199" s="44" t="str">
        <f ca="1">IF(BB9&gt;WEEKNUM(TODAY())," ", IF(AND(BB10="x",SUM($AD198:BB198)&gt;$AD196),AE9-(SUM($AD198:BB198)/SUM($AD196:$BG196)),IF(SUM($AD198:BB198)&gt;=$AD196," ",AE9-(SUM($AD198:BB198)/(SUM($AD196:$BG196))))))</f>
        <v xml:space="preserve"> </v>
      </c>
      <c r="BC199" s="44" t="str">
        <f ca="1">IF(BC9&gt;WEEKNUM(TODAY())," ", IF(AND(BC10="x",SUM($AD198:BC198)&gt;$AD196),AF9-(SUM($AD198:BC198)/SUM($AD196:$BG196)),IF(SUM($AD198:BC198)&gt;=$AD196," ",AF9-(SUM($AD198:BC198)/(SUM($AD196:$BG196))))))</f>
        <v xml:space="preserve"> </v>
      </c>
      <c r="BD199" s="44" t="str">
        <f ca="1">IF(BD9&gt;WEEKNUM(TODAY())," ", IF(AND(BD10="x",SUM($AD198:BD198)&gt;$AD196),AG9-(SUM($AD198:BD198)/SUM($AD196:$BG196)),IF(SUM($AD198:BD198)&gt;=$AD196," ",AG9-(SUM($AD198:BD198)/(SUM($AD196:$BG196))))))</f>
        <v xml:space="preserve"> </v>
      </c>
      <c r="BE199" s="44" t="str">
        <f ca="1">IF(BE9&gt;WEEKNUM(TODAY())," ", IF(AND(BE10="x",SUM($AD198:BE198)&gt;$AD196),AH9-(SUM($AD198:BE198)/SUM($AD196:$BG196)),IF(SUM($AD198:BE198)&gt;=$AD196," ",AH9-(SUM($AD198:BE198)/(SUM($AD196:$BG196))))))</f>
        <v xml:space="preserve"> </v>
      </c>
      <c r="BF199" s="44" t="str">
        <f ca="1">IF(BF9&gt;WEEKNUM(TODAY())," ", IF(AND(BF10="x",SUM($AD198:BF198)&gt;$AD196),AI9-(SUM($AD198:BF198)/SUM($AD196:$BG196)),IF(SUM($AD198:BF198)&gt;=$AD196," ",AI9-(SUM($AD198:BF198)/(SUM($AD196:$BG196))))))</f>
        <v xml:space="preserve"> </v>
      </c>
      <c r="BG199" s="44" t="str">
        <f ca="1">IF(BG9&gt;WEEKNUM(TODAY())," ", IF(AND(BG10="x",SUM($AD198:BG198)&gt;$AD196),AJ9-(SUM($AD198:BG198)/SUM($AD196:$BG196)),IF(SUM($AD198:BG198)&gt;=$AD196," ",AJ9-(SUM($AD198:BG198)/(SUM($AD196:$BG196))))))</f>
        <v xml:space="preserve"> </v>
      </c>
      <c r="BH199" s="21"/>
    </row>
    <row r="200" spans="2:60" ht="16.2" thickBot="1" x14ac:dyDescent="0.35">
      <c r="B200" s="70"/>
      <c r="C200" s="79"/>
      <c r="D200" s="84"/>
      <c r="E200" s="57"/>
      <c r="F200" s="117"/>
      <c r="H200" s="49" t="str">
        <f>IF(H196= " ", " ",IF(H198&gt;SUM($H196:$BG196), " N/A", IF(SUM($H198:$BG198)=SUM($H196:BG196), " ", IF(H198=SUM($H196:BG196), " ", "x"))))</f>
        <v>x</v>
      </c>
      <c r="I200" s="50" t="str">
        <f>IF(SUM($H198:I198) &gt; SUM($H196:I196),  " N/A", IF(SUM($H198:$BG198) = SUM($H196:$BH196),    " ",IF(I198 = SUM($H196:$BH196),  " ",   "x")))</f>
        <v>x</v>
      </c>
      <c r="J200" s="50" t="str">
        <f>IF(SUM($H198:J198) &gt; SUM($H196:J196),  " N/A", IF(SUM($H198:$BG198) = SUM($H196:$BH196),    " ",IF(J198 = SUM($H196:$BH196),  " ",   "x")))</f>
        <v>x</v>
      </c>
      <c r="K200" s="50" t="str">
        <f>IF(SUM($H198:K198) &gt; SUM($H196:K196),  " N/A", IF(SUM($H198:$BG198) = SUM($H196:$BH196),    " ",IF(K198 = SUM($H196:$BH196),  " ",   "x")))</f>
        <v>x</v>
      </c>
      <c r="L200" s="44" t="str">
        <f ca="1">IF(SUM($H198:L198) &gt; SUM($H196:L196),  " N/A", IF(SUM($H198:$BG198) = SUM($H159:$BH159),    " ",IF(L198 = SUM($H159:$BH159),  " ",   "x")))</f>
        <v xml:space="preserve"> </v>
      </c>
      <c r="M200" s="44" t="str">
        <f ca="1">IF(SUM($H198:M198) &gt; SUM($H196:M196),  " N/A", IF(SUM($H198:$BG198) = SUM($H159:$BH159),    " ",IF(M198 = SUM($H159:$BH159),  " ",   "x")))</f>
        <v xml:space="preserve"> </v>
      </c>
      <c r="N200" s="44" t="str">
        <f ca="1">IF(SUM($H198:N198) &gt; SUM($H196:N196),  " N/A", IF(SUM($H198:$BG198) = SUM($H159:$BH159),    " ",IF(N198 = SUM($H159:$BH159),  " ",   "x")))</f>
        <v xml:space="preserve"> </v>
      </c>
      <c r="O200" s="44" t="str">
        <f ca="1">IF(SUM($H198:O198) &gt; SUM($H196:O196),  " N/A", IF(SUM($H198:$BG198) = SUM($H159:$BH159),    " ",IF(O198 = SUM($H159:$BH159),  " ",   "x")))</f>
        <v xml:space="preserve"> </v>
      </c>
      <c r="P200" s="44" t="str">
        <f ca="1">IF(SUM($H198:P198) &gt; SUM($H196:P196),  " N/A", IF(SUM($H198:$BG198) = SUM($H159:$BH159),    " ",IF(P198 = SUM($H159:$BH159),  " ",   "x")))</f>
        <v xml:space="preserve"> </v>
      </c>
      <c r="Q200" s="44" t="str">
        <f ca="1">IF(SUM($H198:Q198) &gt; SUM($H196:Q196),  " N/A", IF(SUM($H198:$BG198) = SUM($H159:$BH159),    " ",IF(Q198 = SUM($H159:$BH159),  " ",   "x")))</f>
        <v xml:space="preserve"> </v>
      </c>
      <c r="R200" s="44" t="str">
        <f ca="1">IF(SUM($H198:R198) &gt; SUM($H196:R196),  " N/A", IF(SUM($H198:$BG198) = SUM($H159:$BH159),    " ",IF(R198 = SUM($H159:$BH159),  " ",   "x")))</f>
        <v xml:space="preserve"> </v>
      </c>
      <c r="S200" s="44" t="str">
        <f ca="1">IF(SUM($H198:S198) &gt; SUM($H196:S196),  " N/A", IF(SUM($H198:$BG198) = SUM($H159:$BH159),    " ",IF(S198 = SUM($H159:$BH159),  " ",   "x")))</f>
        <v xml:space="preserve"> </v>
      </c>
      <c r="T200" s="44" t="str">
        <f ca="1">IF(SUM($H198:T198) &gt; SUM($H196:T196),  " N/A", IF(SUM($H198:$BG198) = SUM($H159:$BH159),    " ",IF(T198 = SUM($H159:$BH159),  " ",   "x")))</f>
        <v xml:space="preserve"> </v>
      </c>
      <c r="U200" s="44" t="str">
        <f ca="1">IF(SUM($H198:U198) &gt; SUM($H196:U196),  " N/A", IF(SUM($H198:$BG198) = SUM($H159:$BH159),    " ",IF(U198 = SUM($H159:$BH159),  " ",   "x")))</f>
        <v xml:space="preserve"> </v>
      </c>
      <c r="V200" s="44" t="str">
        <f ca="1">IF(SUM($H198:V198) &gt; SUM($H196:V196),  " N/A", IF(SUM($H198:$BG198) = SUM($H159:$BH159),    " ",IF(V198 = SUM($H159:$BH159),  " ",   "x")))</f>
        <v xml:space="preserve"> </v>
      </c>
      <c r="W200" s="44" t="str">
        <f ca="1">IF(SUM($H198:W198) &gt; SUM($H196:W196),  " N/A", IF(SUM($H198:$BG198) = SUM($H159:$BH159),    " ",IF(W198 = SUM($H159:$BH159),  " ",   "x")))</f>
        <v xml:space="preserve"> </v>
      </c>
      <c r="X200" s="44" t="str">
        <f ca="1">IF(SUM($H198:X198) &gt; SUM($H196:X196),  " N/A", IF(SUM($H198:$BG198) = SUM($H159:$BH159),    " ",IF(X198 = SUM($H159:$BH159),  " ",   "x")))</f>
        <v xml:space="preserve"> </v>
      </c>
      <c r="Y200" s="44" t="str">
        <f ca="1">IF(SUM($H198:Y198) &gt; SUM($H196:Y196),  " N/A", IF(SUM($H198:$BG198) = SUM($H159:$BH159),    " ",IF(Y198 = SUM($H159:$BH159),  " ",   "x")))</f>
        <v xml:space="preserve"> </v>
      </c>
      <c r="Z200" s="44" t="str">
        <f ca="1">IF(SUM($H198:Z198) &gt; SUM($H196:Z196),  " N/A", IF(SUM($H198:$BG198) = SUM($H159:$BH159),    " ",IF(Z198 = SUM($H159:$BH159),  " ",   "x")))</f>
        <v xml:space="preserve"> </v>
      </c>
      <c r="AA200" s="44" t="str">
        <f ca="1">IF(SUM($H198:AA198) &gt; SUM($H196:AA196),  " N/A", IF(SUM($H198:$BG198) = SUM($H159:$BH159),    " ",IF(AA198 = SUM($H159:$BH159),  " ",   "x")))</f>
        <v xml:space="preserve"> </v>
      </c>
      <c r="AB200" s="44" t="str">
        <f ca="1">IF(SUM($H198:AB198) &gt; SUM($H196:AB196),  " N/A", IF(SUM($H198:$BG198) = SUM($H159:$BH159),    " ",IF(AB198 = SUM($H159:$BH159),  " ",   "x")))</f>
        <v xml:space="preserve"> </v>
      </c>
      <c r="AC200" s="44" t="str">
        <f ca="1">IF(SUM($H198:AC198) &gt; SUM($H196:AC196),  " N/A", IF(SUM($H198:$BG198) = SUM($H159:$BH159),    " ",IF(AC198 = SUM($H159:$BH159),  " ",   "x")))</f>
        <v xml:space="preserve"> </v>
      </c>
      <c r="AD200" s="44" t="str">
        <f ca="1">IF(SUM($H198:AD198) &gt; SUM($H196:AD196),  " N/A", IF(SUM($H198:$BG198) = SUM($H159:$BH159),    " ",IF(AD198 = SUM($H159:$BH159),  " ",   "x")))</f>
        <v xml:space="preserve"> </v>
      </c>
      <c r="AE200" s="44" t="str">
        <f ca="1">IF(SUM($H198:AE198) &gt; SUM($H196:AE196),  " N/A", IF(SUM($H198:$BG198) = SUM($H169:$BH169),    " ",IF(AE198 = SUM($H169:$BH169),  " ",   "x")))</f>
        <v xml:space="preserve"> </v>
      </c>
      <c r="AF200" s="44" t="str">
        <f ca="1">IF(SUM($H198:AF198) &gt; SUM($H196:AF196),  " N/A", IF(SUM($H198:$BG198) = SUM($H159:$BH159),    " ",IF(AF198 = SUM($H159:$BH159),  " ",   "x")))</f>
        <v xml:space="preserve"> </v>
      </c>
      <c r="AG200" s="44" t="str">
        <f ca="1">IF(SUM($H198:AG198) &gt; SUM($H196:AG196),  " N/A", IF(SUM($H198:$BG198) = SUM($H159:$BH159),    " ",IF(AG198 = SUM($H159:$BH159),  " ",   "x")))</f>
        <v xml:space="preserve"> </v>
      </c>
      <c r="AH200" s="44" t="str">
        <f ca="1">IF(SUM($H198:AH198) &gt; SUM($H196:AH196),  " N/A", IF(SUM($H198:$BG198) = SUM($H159:$BH159),    " ",IF(AH198 = SUM($H159:$BH159),  " ",   "x")))</f>
        <v xml:space="preserve"> </v>
      </c>
      <c r="AI200" s="44" t="str">
        <f ca="1">IF(SUM($H198:AI198) &gt; SUM($H196:AI196),  " N/A", IF(SUM($H198:$BG198) = SUM($H159:$BH159),    " ",IF(AI198 = SUM($H159:$BH159),  " ",   "x")))</f>
        <v xml:space="preserve"> </v>
      </c>
      <c r="AJ200" s="44" t="str">
        <f ca="1">IF(SUM($H198:AJ198) &gt; SUM($H196:AJ196),  " N/A", IF(SUM($H198:$BG198) = SUM($H159:$BH159),    " ",IF(AJ198 = SUM($H159:$BH159),  " ",   "x")))</f>
        <v xml:space="preserve"> </v>
      </c>
      <c r="AK200" s="44" t="str">
        <f ca="1">IF(SUM($H198:AK198) &gt; SUM($H196:AK196),  " N/A", IF(SUM($H198:$BG198) = SUM($H159:$BH159),    " ",IF(AK198 = SUM($H159:$BH159),  " ",   "x")))</f>
        <v xml:space="preserve"> </v>
      </c>
      <c r="AL200" s="44" t="str">
        <f ca="1">IF(SUM($H198:AL198) &gt; SUM($H196:AL196),  " N/A", IF(SUM($H198:$BG198) = SUM($H159:$BH159),    " ",IF(AL198 = SUM($H159:$BH159),  " ",   "x")))</f>
        <v xml:space="preserve"> </v>
      </c>
      <c r="AM200" s="44" t="str">
        <f ca="1">IF(SUM($H198:AM198) &gt; SUM($H196:AM196),  " N/A", IF(SUM($H198:$BG198) = SUM($H159:$BH159),    " ",IF(AM198 = SUM($H159:$BH159),  " ",   "x")))</f>
        <v xml:space="preserve"> </v>
      </c>
      <c r="AN200" s="44" t="str">
        <f ca="1">IF(SUM($H198:AN198) &gt; SUM($H196:AN196),  " N/A", IF(SUM($H198:$BG198) = SUM($H159:$BH159),    " ",IF(AN198 = SUM($H159:$BH159),  " ",   "x")))</f>
        <v xml:space="preserve"> </v>
      </c>
      <c r="AO200" s="44" t="str">
        <f ca="1">IF(SUM($H198:AO198) &gt; SUM($H196:AO196),  " N/A", IF(SUM($H198:$BG198) = SUM($H159:$BH159),    " ",IF(AO198 = SUM($H159:$BH159),  " ",   "x")))</f>
        <v xml:space="preserve"> </v>
      </c>
      <c r="AP200" s="44" t="str">
        <f ca="1">IF(SUM($H198:AP198) &gt; SUM($H196:AP196),  " N/A", IF(SUM($H198:$BG198) = SUM($H159:$BH159),    " ",IF(AP198 = SUM($H159:$BH159),  " ",   "x")))</f>
        <v xml:space="preserve"> </v>
      </c>
      <c r="AQ200" s="44" t="str">
        <f ca="1">IF(SUM($H198:AQ198) &gt; SUM($H196:AQ196),  " N/A", IF(SUM($H198:$BG198) = SUM($H159:$BH159),    " ",IF(AQ198 = SUM($H159:$BH159),  " ",   "x")))</f>
        <v xml:space="preserve"> </v>
      </c>
      <c r="AR200" s="44" t="str">
        <f ca="1">IF(SUM($H198:AR198) &gt; SUM($H196:AR196),  " N/A", IF(SUM($H198:$BG198) = SUM($H159:$BH159),    " ",IF(AR198 = SUM($H159:$BH159),  " ",   "x")))</f>
        <v xml:space="preserve"> </v>
      </c>
      <c r="AS200" s="44" t="str">
        <f ca="1">IF(SUM($H198:AS198) &gt; SUM($H196:AS196),  " N/A", IF(SUM($H198:$BG198) = SUM($H159:$BH159),    " ",IF(AS198 = SUM($H159:$BH159),  " ",   "x")))</f>
        <v xml:space="preserve"> </v>
      </c>
      <c r="AT200" s="44" t="str">
        <f ca="1">IF(SUM($H198:AT198) &gt; SUM($H196:AT196),  " N/A", IF(SUM($H198:$BG198) = SUM($H159:$BH159),    " ",IF(AT198 = SUM($H159:$BH159),  " ",   "x")))</f>
        <v xml:space="preserve"> </v>
      </c>
      <c r="AU200" s="44" t="str">
        <f ca="1">IF(SUM($H198:AU198) &gt; SUM($H196:AU196),  " N/A", IF(SUM($H198:$BG198) = SUM($H159:$BH159),    " ",IF(AU198 = SUM($H159:$BH159),  " ",   "x")))</f>
        <v xml:space="preserve"> </v>
      </c>
      <c r="AV200" s="44" t="str">
        <f ca="1">IF(SUM($H198:AV198) &gt; SUM($H196:AV196),  " N/A", IF(SUM($H198:$BG198) = SUM($H159:$BH159),    " ",IF(AV198 = SUM($H159:$BH159),  " ",   "x")))</f>
        <v xml:space="preserve"> </v>
      </c>
      <c r="AW200" s="44" t="str">
        <f ca="1">IF(SUM($H198:AW198) &gt; SUM($H196:AW196),  " N/A", IF(SUM($H198:$BG198) = SUM($H159:$BH159),    " ",IF(AW198 = SUM($H159:$BH159),  " ",   "x")))</f>
        <v xml:space="preserve"> </v>
      </c>
      <c r="AX200" s="44" t="str">
        <f ca="1">IF(SUM($H198:AX198) &gt; SUM($H196:AX196),  " N/A", IF(SUM($H198:$BG198) = SUM($H159:$BH159),    " ",IF(AX198 = SUM($H159:$BH159),  " ",   "x")))</f>
        <v xml:space="preserve"> </v>
      </c>
      <c r="AY200" s="44" t="str">
        <f ca="1">IF(SUM($H198:AY198) &gt; SUM($H196:AY196),  " N/A", IF(SUM($H198:$BG198) = SUM($H159:$BH159),    " ",IF(AY198 = SUM($H159:$BH159),  " ",   "x")))</f>
        <v xml:space="preserve"> </v>
      </c>
      <c r="AZ200" s="44" t="str">
        <f ca="1">IF(SUM($H198:AZ198) &gt; SUM($H196:AZ196),  " N/A", IF(SUM($H198:$BG198) = SUM($H159:$BH159),    " ",IF(AZ198 = SUM($H159:$BH159),  " ",   "x")))</f>
        <v xml:space="preserve"> </v>
      </c>
      <c r="BA200" s="44" t="str">
        <f ca="1">IF(SUM($H198:BA198) &gt; SUM($H196:BA196),  " N/A", IF(SUM($H198:$BG198) = SUM($H159:$BH159),    " ",IF(BA198 = SUM($H159:$BH159),  " ",   "x")))</f>
        <v xml:space="preserve"> </v>
      </c>
      <c r="BB200" s="44" t="str">
        <f ca="1">IF(SUM($H198:BB198) &gt; SUM($H196:BB196),  " N/A", IF(SUM($H198:$BG198) = SUM($H159:$BH159),    " ",IF(BB198 = SUM($H159:$BH159),  " ",   "x")))</f>
        <v xml:space="preserve"> </v>
      </c>
      <c r="BC200" s="44" t="str">
        <f ca="1">IF(SUM($H198:BC198) &gt; SUM($H196:BC196),  " N/A", IF(SUM($H198:$BG198) = SUM($H159:$BH159),    " ",IF(BC198 = SUM($H159:$BH159),  " ",   "x")))</f>
        <v xml:space="preserve"> </v>
      </c>
      <c r="BD200" s="44" t="str">
        <f ca="1">IF(SUM($H198:BD198) &gt; SUM($H196:BD196),  " N/A", IF(SUM($H198:$BG198) = SUM($H159:$BH159),    " ",IF(BD198 = SUM($H159:$BH159),  " ",   "x")))</f>
        <v xml:space="preserve"> </v>
      </c>
      <c r="BE200" s="44" t="str">
        <f ca="1">IF(SUM($H198:BE198) &gt; SUM($H196:BE196),  " N/A", IF(SUM($H198:$BG198) = SUM($H159:$BH159),    " ",IF(BE198 = SUM($H159:$BH159),  " ",   "x")))</f>
        <v xml:space="preserve"> </v>
      </c>
      <c r="BF200" s="44" t="str">
        <f ca="1">IF(SUM($H198:BF198) &gt; SUM($H196:BF196),  " N/A", IF(SUM($H198:$BG198) = SUM($H159:$BH159),    " ",IF(BF198 = SUM($H159:$BH159),  " ",   "x")))</f>
        <v xml:space="preserve"> </v>
      </c>
      <c r="BG200" s="44" t="str">
        <f ca="1">IF(SUM($H198:BG198) &gt; SUM($H196:BG196),  " N/A", IF(SUM($H198:$BG198) = SUM($H159:$BH159),    " ",IF(BG198 = SUM($H159:$BH159),  " ",   "x")))</f>
        <v xml:space="preserve"> </v>
      </c>
      <c r="BH200" s="21"/>
    </row>
    <row r="201" spans="2:60" ht="15.6" x14ac:dyDescent="0.3">
      <c r="B201" s="71"/>
      <c r="C201" s="77"/>
      <c r="D201" s="82" t="s">
        <v>249</v>
      </c>
      <c r="E201" s="54">
        <f>SUM(H201:BG201)</f>
        <v>16</v>
      </c>
      <c r="F201" s="115">
        <f>Gant_24!$E201-E203</f>
        <v>16</v>
      </c>
      <c r="H201" s="41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>
        <v>16</v>
      </c>
      <c r="AE201" s="51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42"/>
      <c r="BB201" s="42"/>
      <c r="BC201" s="42"/>
      <c r="BD201" s="42"/>
      <c r="BE201" s="42"/>
      <c r="BF201" s="42"/>
      <c r="BG201" s="42"/>
      <c r="BH201" s="21"/>
    </row>
    <row r="202" spans="2:60" ht="15.6" x14ac:dyDescent="0.3">
      <c r="B202" s="68"/>
      <c r="C202" s="78"/>
      <c r="D202" s="83" t="s">
        <v>261</v>
      </c>
      <c r="E202" s="55">
        <f>SUM(H202:BG202)</f>
        <v>0</v>
      </c>
      <c r="F202" s="116"/>
      <c r="H202" s="43"/>
      <c r="I202" s="44"/>
      <c r="J202" s="44"/>
      <c r="K202" s="44"/>
      <c r="L202" s="44"/>
      <c r="M202" s="44"/>
      <c r="N202" s="44"/>
      <c r="O202" s="44"/>
      <c r="P202" s="44"/>
      <c r="Q202" s="44"/>
      <c r="R202" s="44"/>
      <c r="S202" s="44"/>
      <c r="T202" s="44"/>
      <c r="U202" s="44"/>
      <c r="V202" s="44"/>
      <c r="W202" s="44"/>
      <c r="X202" s="44"/>
      <c r="Y202" s="44"/>
      <c r="Z202" s="44"/>
      <c r="AA202" s="44"/>
      <c r="AB202" s="44"/>
      <c r="AC202" s="44"/>
      <c r="AD202" s="44"/>
      <c r="AE202" s="50"/>
      <c r="AF202" s="44"/>
      <c r="AG202" s="44"/>
      <c r="AH202" s="44"/>
      <c r="AI202" s="44"/>
      <c r="AJ202" s="44"/>
      <c r="AK202" s="44"/>
      <c r="AL202" s="44"/>
      <c r="AM202" s="44"/>
      <c r="AN202" s="44"/>
      <c r="AO202" s="44"/>
      <c r="AP202" s="44"/>
      <c r="AQ202" s="44"/>
      <c r="AR202" s="44"/>
      <c r="AS202" s="44"/>
      <c r="AT202" s="44"/>
      <c r="AU202" s="44"/>
      <c r="AV202" s="44"/>
      <c r="AW202" s="44"/>
      <c r="AX202" s="44"/>
      <c r="AY202" s="44"/>
      <c r="AZ202" s="44"/>
      <c r="BA202" s="44"/>
      <c r="BB202" s="44"/>
      <c r="BC202" s="44"/>
      <c r="BD202" s="44"/>
      <c r="BE202" s="44"/>
      <c r="BF202" s="44"/>
      <c r="BG202" s="44"/>
      <c r="BH202" s="21"/>
    </row>
    <row r="203" spans="2:60" ht="15.6" x14ac:dyDescent="0.3">
      <c r="B203" s="68" t="s">
        <v>172</v>
      </c>
      <c r="C203" s="78" t="s">
        <v>173</v>
      </c>
      <c r="D203" s="83" t="s">
        <v>241</v>
      </c>
      <c r="E203" s="55">
        <f>SUM(H203:BG203)</f>
        <v>0</v>
      </c>
      <c r="F203" s="116"/>
      <c r="H203" s="45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  <c r="AG203" s="46"/>
      <c r="AH203" s="46"/>
      <c r="AI203" s="46"/>
      <c r="AJ203" s="46"/>
      <c r="AK203" s="46"/>
      <c r="AL203" s="46"/>
      <c r="AM203" s="46"/>
      <c r="AN203" s="46"/>
      <c r="AO203" s="46"/>
      <c r="AP203" s="46"/>
      <c r="AQ203" s="46"/>
      <c r="AR203" s="46"/>
      <c r="AS203" s="46"/>
      <c r="AT203" s="46"/>
      <c r="AU203" s="46"/>
      <c r="AV203" s="46"/>
      <c r="AW203" s="46"/>
      <c r="AX203" s="46"/>
      <c r="AY203" s="46"/>
      <c r="AZ203" s="46"/>
      <c r="BA203" s="46"/>
      <c r="BB203" s="46"/>
      <c r="BC203" s="46"/>
      <c r="BD203" s="46"/>
      <c r="BE203" s="46"/>
      <c r="BF203" s="46"/>
      <c r="BG203" s="46"/>
      <c r="BH203" s="21"/>
    </row>
    <row r="204" spans="2:60" ht="15.6" x14ac:dyDescent="0.3">
      <c r="B204" s="68"/>
      <c r="C204" s="78"/>
      <c r="D204" s="83" t="s">
        <v>278</v>
      </c>
      <c r="E204" s="56">
        <f ca="1">MAX(H204:BG204)</f>
        <v>0</v>
      </c>
      <c r="F204" s="116"/>
      <c r="H204" s="47"/>
      <c r="I204" s="48"/>
      <c r="J204" s="48"/>
      <c r="K204" s="48"/>
      <c r="L204" s="44"/>
      <c r="M204" s="44"/>
      <c r="N204" s="44"/>
      <c r="O204" s="44"/>
      <c r="P204" s="44"/>
      <c r="Q204" s="44"/>
      <c r="R204" s="44"/>
      <c r="S204" s="44"/>
      <c r="T204" s="44"/>
      <c r="U204" s="44"/>
      <c r="V204" s="44"/>
      <c r="W204" s="44"/>
      <c r="X204" s="44"/>
      <c r="Y204" s="44"/>
      <c r="Z204" s="44"/>
      <c r="AA204" s="44"/>
      <c r="AB204" s="44"/>
      <c r="AC204" s="44"/>
      <c r="AD204" s="44" t="str">
        <f>IF(SUM(H201:BG201) = AD203, " 0 ", " ")</f>
        <v xml:space="preserve"> </v>
      </c>
      <c r="AE204" s="44" t="str">
        <f ca="1">IF(AE9&gt;WEEKNUM(TODAY())," ", IF(AND(AE10="x",SUM($AD203:AE203)&gt;$AD201),H9-(SUM($AD203:AE203)/SUM($AD201:$BG201)),IF(SUM($AD203:AE203)&gt;=$AD201," ",H9-(SUM($AD203:AE203)/(SUM($AD201:$BG201))))))</f>
        <v xml:space="preserve"> </v>
      </c>
      <c r="AF204" s="44" t="str">
        <f ca="1">IF(AF9&gt;WEEKNUM(TODAY())," ", IF(AND(AF10="x",SUM($AD203:AF203)&gt;$AD201),I9-(SUM($AD203:AF203)/SUM($AD201:$BG201)),IF(SUM($AD203:AF203)&gt;=$AD201," ",I9-(SUM($AD203:AF203)/(SUM($AD201:$BG201))))))</f>
        <v xml:space="preserve"> </v>
      </c>
      <c r="AG204" s="44" t="str">
        <f ca="1">IF(AG9&gt;WEEKNUM(TODAY())," ", IF(AND(AG10="x",SUM($AD203:AG203)&gt;$AD201),J9-(SUM($AD203:AG203)/SUM($AD201:$BG201)),IF(SUM($AD203:AG203)&gt;=$AD201," ",J9-(SUM($AD203:AG203)/(SUM($AD201:$BG201))))))</f>
        <v xml:space="preserve"> </v>
      </c>
      <c r="AH204" s="44" t="str">
        <f ca="1">IF(AH9&gt;WEEKNUM(TODAY())," ", IF(AND(AH10="x",SUM($AD203:AH203)&gt;$AD201),K9-(SUM($AD203:AH203)/SUM($AD201:$BG201)),IF(SUM($AD203:AH203)&gt;=$AD201," ",K9-(SUM($AD203:AH203)/(SUM($AD201:$BG201))))))</f>
        <v xml:space="preserve"> </v>
      </c>
      <c r="AI204" s="44" t="str">
        <f ca="1">IF(AI9&gt;WEEKNUM(TODAY())," ", IF(AND(AI10="x",SUM($AD203:AI203)&gt;$AD201),L9-(SUM($AD203:AI203)/SUM($AD201:$BG201)),IF(SUM($AD203:AI203)&gt;=$AD201," ",L9-(SUM($AD203:AI203)/(SUM($AD201:$BG201))))))</f>
        <v xml:space="preserve"> </v>
      </c>
      <c r="AJ204" s="44" t="str">
        <f ca="1">IF(AJ9&gt;WEEKNUM(TODAY())," ", IF(AND(AJ10="x",SUM($AD203:AJ203)&gt;$AD201),M9-(SUM($AD203:AJ203)/SUM($AD201:$BG201)),IF(SUM($AD203:AJ203)&gt;=$AD201," ",M9-(SUM($AD203:AJ203)/(SUM($AD201:$BG201))))))</f>
        <v xml:space="preserve"> </v>
      </c>
      <c r="AK204" s="44" t="str">
        <f ca="1">IF(AK9&gt;WEEKNUM(TODAY())," ", IF(AND(AK10="x",SUM($AD203:AK203)&gt;$AD201),N9-(SUM($AD203:AK203)/SUM($AD201:$BG201)),IF(SUM($AD203:AK203)&gt;=$AD201," ",N9-(SUM($AD203:AK203)/(SUM($AD201:$BG201))))))</f>
        <v xml:space="preserve"> </v>
      </c>
      <c r="AL204" s="44" t="str">
        <f ca="1">IF(AL9&gt;WEEKNUM(TODAY())," ", IF(AND(AL10="x",SUM($AD203:AL203)&gt;$AD201),O9-(SUM($AD203:AL203)/SUM($AD201:$BG201)),IF(SUM($AD203:AL203)&gt;=$AD201," ",O9-(SUM($AD203:AL203)/(SUM($AD201:$BG201))))))</f>
        <v xml:space="preserve"> </v>
      </c>
      <c r="AM204" s="44" t="str">
        <f ca="1">IF(AM9&gt;WEEKNUM(TODAY())," ", IF(AND(AM10="x",SUM($AD203:AM203)&gt;$AD201),P9-(SUM($AD203:AM203)/SUM($AD201:$BG201)),IF(SUM($AD203:AM203)&gt;=$AD201," ",P9-(SUM($AD203:AM203)/(SUM($AD201:$BG201))))))</f>
        <v xml:space="preserve"> </v>
      </c>
      <c r="AN204" s="44" t="str">
        <f ca="1">IF(AN9&gt;WEEKNUM(TODAY())," ", IF(AND(AN10="x",SUM($AD203:AN203)&gt;$AD201),Q9-(SUM($AD203:AN203)/SUM($AD201:$BG201)),IF(SUM($AD203:AN203)&gt;=$AD201," ",Q9-(SUM($AD203:AN203)/(SUM($AD201:$BG201))))))</f>
        <v xml:space="preserve"> </v>
      </c>
      <c r="AO204" s="44" t="str">
        <f ca="1">IF(AO9&gt;WEEKNUM(TODAY())," ", IF(AND(AO10="x",SUM($AD203:AO203)&gt;$AD201),R9-(SUM($AD203:AO203)/SUM($AD201:$BG201)),IF(SUM($AD203:AO203)&gt;=$AD201," ",R9-(SUM($AD203:AO203)/(SUM($AD201:$BG201))))))</f>
        <v xml:space="preserve"> </v>
      </c>
      <c r="AP204" s="44" t="str">
        <f ca="1">IF(AP9&gt;WEEKNUM(TODAY())," ", IF(AND(AP10="x",SUM($AD203:AP203)&gt;$AD201),S9-(SUM($AD203:AP203)/SUM($AD201:$BG201)),IF(SUM($AD203:AP203)&gt;=$AD201," ",S9-(SUM($AD203:AP203)/(SUM($AD201:$BG201))))))</f>
        <v xml:space="preserve"> </v>
      </c>
      <c r="AQ204" s="44" t="str">
        <f ca="1">IF(AQ9&gt;WEEKNUM(TODAY())," ", IF(AND(AQ10="x",SUM($AD203:AQ203)&gt;$AD201),T9-(SUM($AD203:AQ203)/SUM($AD201:$BG201)),IF(SUM($AD203:AQ203)&gt;=$AD201," ",T9-(SUM($AD203:AQ203)/(SUM($AD201:$BG201))))))</f>
        <v xml:space="preserve"> </v>
      </c>
      <c r="AR204" s="44" t="str">
        <f ca="1">IF(AR9&gt;WEEKNUM(TODAY())," ", IF(AND(AR10="x",SUM($AD203:AR203)&gt;$AD201),U9-(SUM($AD203:AR203)/SUM($AD201:$BG201)),IF(SUM($AD203:AR203)&gt;=$AD201," ",U9-(SUM($AD203:AR203)/(SUM($AD201:$BG201))))))</f>
        <v xml:space="preserve"> </v>
      </c>
      <c r="AS204" s="44" t="str">
        <f ca="1">IF(AS9&gt;WEEKNUM(TODAY())," ", IF(AND(AS10="x",SUM($AD203:AS203)&gt;$AD201),V9-(SUM($AD203:AS203)/SUM($AD201:$BG201)),IF(SUM($AD203:AS203)&gt;=$AD201," ",V9-(SUM($AD203:AS203)/(SUM($AD201:$BG201))))))</f>
        <v xml:space="preserve"> </v>
      </c>
      <c r="AT204" s="44" t="str">
        <f ca="1">IF(AT9&gt;WEEKNUM(TODAY())," ", IF(AND(AT10="x",SUM($AD203:AT203)&gt;$AD201),W9-(SUM($AD203:AT203)/SUM($AD201:$BG201)),IF(SUM($AD203:AT203)&gt;=$AD201," ",W9-(SUM($AD203:AT203)/(SUM($AD201:$BG201))))))</f>
        <v xml:space="preserve"> </v>
      </c>
      <c r="AU204" s="44" t="str">
        <f ca="1">IF(AU9&gt;WEEKNUM(TODAY())," ", IF(AND(AU10="x",SUM($AD203:AU203)&gt;$AD201),X9-(SUM($AD203:AU203)/SUM($AD201:$BG201)),IF(SUM($AD203:AU203)&gt;=$AD201," ",X9-(SUM($AD203:AU203)/(SUM($AD201:$BG201))))))</f>
        <v xml:space="preserve"> </v>
      </c>
      <c r="AV204" s="44" t="str">
        <f ca="1">IF(AV9&gt;WEEKNUM(TODAY())," ", IF(AND(AV10="x",SUM($AD203:AV203)&gt;$AD201),Y9-(SUM($AD203:AV203)/SUM($AD201:$BG201)),IF(SUM($AD203:AV203)&gt;=$AD201," ",Y9-(SUM($AD203:AV203)/(SUM($AD201:$BG201))))))</f>
        <v xml:space="preserve"> </v>
      </c>
      <c r="AW204" s="44" t="str">
        <f ca="1">IF(AW9&gt;WEEKNUM(TODAY())," ", IF(AND(AW10="x",SUM($AD203:AW203)&gt;$AD201),Z9-(SUM($AD203:AW203)/SUM($AD201:$BG201)),IF(SUM($AD203:AW203)&gt;=$AD201," ",Z9-(SUM($AD203:AW203)/(SUM($AD201:$BG201))))))</f>
        <v xml:space="preserve"> </v>
      </c>
      <c r="AX204" s="44" t="str">
        <f ca="1">IF(AX9&gt;WEEKNUM(TODAY())," ", IF(AND(AX10="x",SUM($AD203:AX203)&gt;$AD201),AA9-(SUM($AD203:AX203)/SUM($AD201:$BG201)),IF(SUM($AD203:AX203)&gt;=$AD201," ",AA9-(SUM($AD203:AX203)/(SUM($AD201:$BG201))))))</f>
        <v xml:space="preserve"> </v>
      </c>
      <c r="AY204" s="44" t="str">
        <f ca="1">IF(AY9&gt;WEEKNUM(TODAY())," ", IF(AND(AY10="x",SUM($AD203:AY203)&gt;$AD201),AB9-(SUM($AD203:AY203)/SUM($AD201:$BG201)),IF(SUM($AD203:AY203)&gt;=$AD201," ",AB9-(SUM($AD203:AY203)/(SUM($AD201:$BG201))))))</f>
        <v xml:space="preserve"> </v>
      </c>
      <c r="AZ204" s="44" t="str">
        <f ca="1">IF(AZ9&gt;WEEKNUM(TODAY())," ", IF(AND(AZ10="x",SUM($AD203:AZ203)&gt;$AD201),AC9-(SUM($AD203:AZ203)/SUM($AD201:$BG201)),IF(SUM($AD203:AZ203)&gt;=$AD201," ",AC9-(SUM($AD203:AZ203)/(SUM($AD201:$BG201))))))</f>
        <v xml:space="preserve"> </v>
      </c>
      <c r="BA204" s="44" t="str">
        <f ca="1">IF(BA9&gt;WEEKNUM(TODAY())," ", IF(AND(BA10="x",SUM($AD203:BA203)&gt;$AD201),AD9-(SUM($AD203:BA203)/SUM($AD201:$BG201)),IF(SUM($AD203:BA203)&gt;=$AD201," ",AD9-(SUM($AD203:BA203)/(SUM($AD201:$BG201))))))</f>
        <v xml:space="preserve"> </v>
      </c>
      <c r="BB204" s="44" t="str">
        <f ca="1">IF(BB9&gt;WEEKNUM(TODAY())," ", IF(AND(BB10="x",SUM($AD203:BB203)&gt;$AD201),AE9-(SUM($AD203:BB203)/SUM($AD201:$BG201)),IF(SUM($AD203:BB203)&gt;=$AD201," ",AE9-(SUM($AD203:BB203)/(SUM($AD201:$BG201))))))</f>
        <v xml:space="preserve"> </v>
      </c>
      <c r="BC204" s="44" t="str">
        <f ca="1">IF(BC9&gt;WEEKNUM(TODAY())," ", IF(AND(BC10="x",SUM($AD203:BC203)&gt;$AD201),AF9-(SUM($AD203:BC203)/SUM($AD201:$BG201)),IF(SUM($AD203:BC203)&gt;=$AD201," ",AF9-(SUM($AD203:BC203)/(SUM($AD201:$BG201))))))</f>
        <v xml:space="preserve"> </v>
      </c>
      <c r="BD204" s="44" t="str">
        <f ca="1">IF(BD9&gt;WEEKNUM(TODAY())," ", IF(AND(BD10="x",SUM($AD203:BD203)&gt;$AD201),AG9-(SUM($AD203:BD203)/SUM($AD201:$BG201)),IF(SUM($AD203:BD203)&gt;=$AD201," ",AG9-(SUM($AD203:BD203)/(SUM($AD201:$BG201))))))</f>
        <v xml:space="preserve"> </v>
      </c>
      <c r="BE204" s="44" t="str">
        <f ca="1">IF(BE9&gt;WEEKNUM(TODAY())," ", IF(AND(BE10="x",SUM($AD203:BE203)&gt;$AD201),AH9-(SUM($AD203:BE203)/SUM($AD201:$BG201)),IF(SUM($AD203:BE203)&gt;=$AD201," ",AH9-(SUM($AD203:BE203)/(SUM($AD201:$BG201))))))</f>
        <v xml:space="preserve"> </v>
      </c>
      <c r="BF204" s="44" t="str">
        <f ca="1">IF(BF9&gt;WEEKNUM(TODAY())," ", IF(AND(BF10="x",SUM($AD203:BF203)&gt;$AD201),AI9-(SUM($AD203:BF203)/SUM($AD201:$BG201)),IF(SUM($AD203:BF203)&gt;=$AD201," ",AI9-(SUM($AD203:BF203)/(SUM($AD201:$BG201))))))</f>
        <v xml:space="preserve"> </v>
      </c>
      <c r="BG204" s="44" t="str">
        <f ca="1">IF(BG9&gt;WEEKNUM(TODAY())," ", IF(AND(BG10="x",SUM($AD203:BG203)&gt;$AD201),AJ9-(SUM($AD203:BG203)/SUM($AD201:$BG201)),IF(SUM($AD203:BG203)&gt;=$AD201," ",AJ9-(SUM($AD203:BG203)/(SUM($AD201:$BG201))))))</f>
        <v xml:space="preserve"> </v>
      </c>
      <c r="BH204" s="21"/>
    </row>
    <row r="205" spans="2:60" ht="16.2" thickBot="1" x14ac:dyDescent="0.35">
      <c r="B205" s="70"/>
      <c r="C205" s="79"/>
      <c r="D205" s="84"/>
      <c r="E205" s="57"/>
      <c r="F205" s="117"/>
      <c r="H205" s="49" t="str">
        <f>IF(H201= " ", " ",IF(H203&gt;SUM($H201:$BG201), " N/A", IF(SUM($H203:$BG203)=SUM($H201:BG201), " ", IF(H203=SUM($H201:BG201), " ", "x"))))</f>
        <v>x</v>
      </c>
      <c r="I205" s="50" t="str">
        <f>IF(SUM($H203:I203) &gt; SUM($H201:I201),  " N/A", IF(SUM($H203:$BG203) = SUM($H201:$BH201),    " ",IF(I203 = SUM($H201:$BH201),  " ",   "x")))</f>
        <v>x</v>
      </c>
      <c r="J205" s="50" t="str">
        <f>IF(SUM($H203:J203) &gt; SUM($H201:J201),  " N/A", IF(SUM($H203:$BG203) = SUM($H201:$BH201),    " ",IF(J203 = SUM($H201:$BH201),  " ",   "x")))</f>
        <v>x</v>
      </c>
      <c r="K205" s="50" t="str">
        <f>IF(SUM($H203:K203) &gt; SUM($H201:K201),  " N/A", IF(SUM($H203:$BG203) = SUM($H201:$BH201),    " ",IF(K203 = SUM($H201:$BH201),  " ",   "x")))</f>
        <v>x</v>
      </c>
      <c r="L205" s="50" t="str">
        <f>IF(SUM($H203:L203) &gt; SUM($H201:L201),  " N/A", IF(SUM($H203:$BG203) = SUM($H201:$BH201),    " ",IF(L203 = SUM($H201:$BH201),  " ",   "x")))</f>
        <v>x</v>
      </c>
      <c r="M205" s="50" t="str">
        <f>IF(SUM($H203:M203) &gt; SUM($H201:M201),  " N/A", IF(SUM($H203:$BG203) = SUM($H201:$BH201),    " ",IF(M203 = SUM($H201:$BH201),  " ",   "x")))</f>
        <v>x</v>
      </c>
      <c r="N205" s="50" t="str">
        <f>IF(SUM($H203:N203) &gt; SUM($H201:N201),  " N/A", IF(SUM($H203:$BG203) = SUM($H201:$BH201),    " ",IF(N203 = SUM($H201:$BH201),  " ",   "x")))</f>
        <v>x</v>
      </c>
      <c r="O205" s="50" t="str">
        <f>IF(SUM($H203:O203) &gt; SUM($H201:O201),  " N/A", IF(SUM($H203:$BG203) = SUM($H201:$BH201),    " ",IF(O203 = SUM($H201:$BH201),  " ",   "x")))</f>
        <v>x</v>
      </c>
      <c r="P205" s="50" t="str">
        <f>IF(SUM($H203:P203) &gt; SUM($H201:P201),  " N/A", IF(SUM($H203:$BG203) = SUM($H201:$BH201),    " ",IF(P203 = SUM($H201:$BH201),  " ",   "x")))</f>
        <v>x</v>
      </c>
      <c r="Q205" s="50" t="str">
        <f>IF(SUM($H203:Q203) &gt; SUM($H201:Q201),  " N/A", IF(SUM($H203:$BG203) = SUM($H201:$BH201),    " ",IF(Q203 = SUM($H201:$BH201),  " ",   "x")))</f>
        <v>x</v>
      </c>
      <c r="R205" s="50" t="str">
        <f>IF(SUM($H203:R203) &gt; SUM($H201:R201),  " N/A", IF(SUM($H203:$BG203) = SUM($H201:$BH201),    " ",IF(R203 = SUM($H201:$BH201),  " ",   "x")))</f>
        <v>x</v>
      </c>
      <c r="S205" s="50" t="str">
        <f>IF(SUM($H203:S203) &gt; SUM($H201:S201),  " N/A", IF(SUM($H203:$BG203) = SUM($H201:$BH201),    " ",IF(S203 = SUM($H201:$BH201),  " ",   "x")))</f>
        <v>x</v>
      </c>
      <c r="T205" s="50" t="str">
        <f>IF(SUM($H203:T203) &gt; SUM($H201:T201),  " N/A", IF(SUM($H203:$BG203) = SUM($H201:$BH201),    " ",IF(T203 = SUM($H201:$BH201),  " ",   "x")))</f>
        <v>x</v>
      </c>
      <c r="U205" s="50" t="str">
        <f>IF(SUM($H203:U203) &gt; SUM($H201:U201),  " N/A", IF(SUM($H203:$BG203) = SUM($H201:$BH201),    " ",IF(U203 = SUM($H201:$BH201),  " ",   "x")))</f>
        <v>x</v>
      </c>
      <c r="V205" s="50" t="str">
        <f>IF(SUM($H203:V203) &gt; SUM($H201:V201),  " N/A", IF(SUM($H203:$BG203) = SUM($H201:$BH201),    " ",IF(V203 = SUM($H201:$BH201),  " ",   "x")))</f>
        <v>x</v>
      </c>
      <c r="W205" s="50" t="str">
        <f>IF(SUM($H203:W203) &gt; SUM($H201:W201),  " N/A", IF(SUM($H203:$BG203) = SUM($H201:$BH201),    " ",IF(W203 = SUM($H201:$BH201),  " ",   "x")))</f>
        <v>x</v>
      </c>
      <c r="X205" s="50" t="str">
        <f>IF(SUM($H203:X203) &gt; SUM($H201:X201),  " N/A", IF(SUM($H203:$BG203) = SUM($H201:$BH201),    " ",IF(X203 = SUM($H201:$BH201),  " ",   "x")))</f>
        <v>x</v>
      </c>
      <c r="Y205" s="50" t="str">
        <f>IF(SUM($H203:Y203) &gt; SUM($H201:Y201),  " N/A", IF(SUM($H203:$BG203) = SUM($H201:$BH201),    " ",IF(Y203 = SUM($H201:$BH201),  " ",   "x")))</f>
        <v>x</v>
      </c>
      <c r="Z205" s="50" t="str">
        <f>IF(SUM($H203:Z203) &gt; SUM($H201:Z201),  " N/A", IF(SUM($H203:$BG203) = SUM($H201:$BH201),    " ",IF(Z203 = SUM($H201:$BH201),  " ",   "x")))</f>
        <v>x</v>
      </c>
      <c r="AA205" s="50" t="str">
        <f>IF(SUM($H203:AA203) &gt; SUM($H201:AA201),  " N/A", IF(SUM($H203:$BG203) = SUM($H201:$BH201),    " ",IF(AA203 = SUM($H201:$BH201),  " ",   "x")))</f>
        <v>x</v>
      </c>
      <c r="AB205" s="50" t="str">
        <f>IF(SUM($H203:AB203) &gt; SUM($H201:AB201),  " N/A", IF(SUM($H203:$BG203) = SUM($H201:$BH201),    " ",IF(AB203 = SUM($H201:$BH201),  " ",   "x")))</f>
        <v>x</v>
      </c>
      <c r="AC205" s="50" t="str">
        <f>IF(SUM($H203:AC203) &gt; SUM($H201:AC201),  " N/A", IF(SUM($H203:$BG203) = SUM($H201:$BH201),    " ",IF(AC203 = SUM($H201:$BH201),  " ",   "x")))</f>
        <v>x</v>
      </c>
      <c r="AD205" s="50" t="str">
        <f>IF(SUM($H203:AD203) &gt; SUM($H201:AD201),  " N/A", IF(SUM($H203:$BG203) = SUM($H201:$BH201),    " ",IF(AD203 = SUM($H201:$BH201),  " ",   "x")))</f>
        <v>x</v>
      </c>
      <c r="AE205" s="50" t="str">
        <f>IF(SUM($H203:AE203) &gt; SUM($H201:AE201),  " N/A", IF(SUM($H203:$BG203) = SUM($H201:$BH201),    " ",IF(AE203 = SUM($H201:$BH201),  " ",   "x")))</f>
        <v>x</v>
      </c>
      <c r="AF205" s="50" t="str">
        <f>IF(SUM($H203:AF203) &gt; SUM($H201:AF201),  " N/A", IF(SUM($H203:$BG203) = SUM($H201:$BH201),    " ",IF(AF203 = SUM($H201:$BH201),  " ",   "x")))</f>
        <v>x</v>
      </c>
      <c r="AG205" s="50" t="str">
        <f>IF(SUM($H203:AG203) &gt; SUM($H201:AG201),  " N/A", IF(SUM($H203:$BG203) = SUM($H201:$BH201),    " ",IF(AG203 = SUM($H201:$BH201),  " ",   "x")))</f>
        <v>x</v>
      </c>
      <c r="AH205" s="50" t="str">
        <f>IF(SUM($H203:AH203) &gt; SUM($H201:AH201),  " N/A", IF(SUM($H203:$BG203) = SUM($H201:$BH201),    " ",IF(AH203 = SUM($H201:$BH201),  " ",   "x")))</f>
        <v>x</v>
      </c>
      <c r="AI205" s="50" t="str">
        <f>IF(SUM($H203:AI203) &gt; SUM($H201:AI201),  " N/A", IF(SUM($H203:$BG203) = SUM($H201:$BH201),    " ",IF(AI203 = SUM($H201:$BH201),  " ",   "x")))</f>
        <v>x</v>
      </c>
      <c r="AJ205" s="50" t="str">
        <f>IF(SUM($H203:AJ203) &gt; SUM($H201:AJ201),  " N/A", IF(SUM($H203:$BG203) = SUM($H201:$BH201),    " ",IF(AJ203 = SUM($H201:$BH201),  " ",   "x")))</f>
        <v>x</v>
      </c>
      <c r="AK205" s="50" t="str">
        <f>IF(SUM($H203:AK203) &gt; SUM($H201:AK201),  " N/A", IF(SUM($H203:$BG203) = SUM($H201:$BH201),    " ",IF(AK203 = SUM($H201:$BH201),  " ",   "x")))</f>
        <v>x</v>
      </c>
      <c r="AL205" s="50" t="str">
        <f>IF(SUM($H203:AL203) &gt; SUM($H201:AL201),  " N/A", IF(SUM($H203:$BG203) = SUM($H201:$BH201),    " ",IF(AL203 = SUM($H201:$BH201),  " ",   "x")))</f>
        <v>x</v>
      </c>
      <c r="AM205" s="50" t="str">
        <f>IF(SUM($H203:AM203) &gt; SUM($H201:AM201),  " N/A", IF(SUM($H203:$BG203) = SUM($H201:$BH201),    " ",IF(AM203 = SUM($H201:$BH201),  " ",   "x")))</f>
        <v>x</v>
      </c>
      <c r="AN205" s="50" t="str">
        <f>IF(SUM($H203:AN203) &gt; SUM($H201:AN201),  " N/A", IF(SUM($H203:$BG203) = SUM($H201:$BH201),    " ",IF(AN203 = SUM($H201:$BH201),  " ",   "x")))</f>
        <v>x</v>
      </c>
      <c r="AO205" s="50" t="str">
        <f>IF(SUM($H203:AO203) &gt; SUM($H201:AO201),  " N/A", IF(SUM($H203:$BG203) = SUM($H201:$BH201),    " ",IF(AO203 = SUM($H201:$BH201),  " ",   "x")))</f>
        <v>x</v>
      </c>
      <c r="AP205" s="50" t="str">
        <f>IF(SUM($H203:AP203) &gt; SUM($H201:AP201),  " N/A", IF(SUM($H203:$BG203) = SUM($H201:$BH201),    " ",IF(AP203 = SUM($H201:$BH201),  " ",   "x")))</f>
        <v>x</v>
      </c>
      <c r="AQ205" s="50" t="str">
        <f>IF(SUM($H203:AQ203) &gt; SUM($H201:AQ201),  " N/A", IF(SUM($H203:$BG203) = SUM($H201:$BH201),    " ",IF(AQ203 = SUM($H201:$BH201),  " ",   "x")))</f>
        <v>x</v>
      </c>
      <c r="AR205" s="50" t="str">
        <f>IF(SUM($H203:AR203) &gt; SUM($H201:AR201),  " N/A", IF(SUM($H203:$BG203) = SUM($H201:$BH201),    " ",IF(AR203 = SUM($H201:$BH201),  " ",   "x")))</f>
        <v>x</v>
      </c>
      <c r="AS205" s="50" t="str">
        <f>IF(SUM($H203:AS203) &gt; SUM($H201:AS201),  " N/A", IF(SUM($H203:$BG203) = SUM($H201:$BH201),    " ",IF(AS203 = SUM($H201:$BH201),  " ",   "x")))</f>
        <v>x</v>
      </c>
      <c r="AT205" s="50" t="str">
        <f>IF(SUM($H203:AT203) &gt; SUM($H201:AT201),  " N/A", IF(SUM($H203:$BG203) = SUM($H201:$BH201),    " ",IF(AT203 = SUM($H201:$BH201),  " ",   "x")))</f>
        <v>x</v>
      </c>
      <c r="AU205" s="50" t="str">
        <f>IF(SUM($H203:AU203) &gt; SUM($H201:AU201),  " N/A", IF(SUM($H203:$BG203) = SUM($H201:$BH201),    " ",IF(AU203 = SUM($H201:$BH201),  " ",   "x")))</f>
        <v>x</v>
      </c>
      <c r="AV205" s="50" t="str">
        <f>IF(SUM($H203:AV203) &gt; SUM($H201:AV201),  " N/A", IF(SUM($H203:$BG203) = SUM($H201:$BH201),    " ",IF(AV203 = SUM($H201:$BH201),  " ",   "x")))</f>
        <v>x</v>
      </c>
      <c r="AW205" s="50" t="str">
        <f>IF(SUM($H203:AW203) &gt; SUM($H201:AW201),  " N/A", IF(SUM($H203:$BG203) = SUM($H201:$BH201),    " ",IF(AW203 = SUM($H201:$BH201),  " ",   "x")))</f>
        <v>x</v>
      </c>
      <c r="AX205" s="50" t="str">
        <f>IF(SUM($H203:AX203) &gt; SUM($H201:AX201),  " N/A", IF(SUM($H203:$BG203) = SUM($H201:$BH201),    " ",IF(AX203 = SUM($H201:$BH201),  " ",   "x")))</f>
        <v>x</v>
      </c>
      <c r="AY205" s="50" t="str">
        <f>IF(SUM($H203:AY203) &gt; SUM($H201:AY201),  " N/A", IF(SUM($H203:$BG203) = SUM($H201:$BH201),    " ",IF(AY203 = SUM($H201:$BH201),  " ",   "x")))</f>
        <v>x</v>
      </c>
      <c r="AZ205" s="50" t="str">
        <f>IF(SUM($H203:AZ203) &gt; SUM($H201:AZ201),  " N/A", IF(SUM($H203:$BG203) = SUM($H201:$BH201),    " ",IF(AZ203 = SUM($H201:$BH201),  " ",   "x")))</f>
        <v>x</v>
      </c>
      <c r="BA205" s="50" t="str">
        <f>IF(SUM($H203:BA203) &gt; SUM($H201:BA201),  " N/A", IF(SUM($H203:$BG203) = SUM($H201:$BH201),    " ",IF(BA203 = SUM($H201:$BH201),  " ",   "x")))</f>
        <v>x</v>
      </c>
      <c r="BB205" s="50" t="str">
        <f>IF(SUM($H203:BB203) &gt; SUM($H201:BB201),  " N/A", IF(SUM($H203:$BG203) = SUM($H201:$BH201),    " ",IF(BB203 = SUM($H201:$BH201),  " ",   "x")))</f>
        <v>x</v>
      </c>
      <c r="BC205" s="50" t="str">
        <f>IF(SUM($H203:BC203) &gt; SUM($H201:BC201),  " N/A", IF(SUM($H203:$BG203) = SUM($H201:$BH201),    " ",IF(BC203 = SUM($H201:$BH201),  " ",   "x")))</f>
        <v>x</v>
      </c>
      <c r="BD205" s="50" t="str">
        <f>IF(SUM($H203:BD203) &gt; SUM($H201:BD201),  " N/A", IF(SUM($H203:$BG203) = SUM($H201:$BH201),    " ",IF(BD203 = SUM($H201:$BH201),  " ",   "x")))</f>
        <v>x</v>
      </c>
      <c r="BE205" s="50" t="str">
        <f>IF(SUM($H203:BE203) &gt; SUM($H201:BE201),  " N/A", IF(SUM($H203:$BG203) = SUM($H201:$BH201),    " ",IF(BE203 = SUM($H201:$BH201),  " ",   "x")))</f>
        <v>x</v>
      </c>
      <c r="BF205" s="50" t="str">
        <f>IF(SUM($H203:BF203) &gt; SUM($H201:BF201),  " N/A", IF(SUM($H203:$BG203) = SUM($H201:$BH201),    " ",IF(BF203 = SUM($H201:$BH201),  " ",   "x")))</f>
        <v>x</v>
      </c>
      <c r="BG205" s="50" t="str">
        <f>IF(SUM($H203:BG203) &gt; SUM($H201:BG201),  " N/A", IF(SUM($H203:$BG203) = SUM($H201:$BH201),    " ",IF(BG203 = SUM($H201:$BH201),  " ",   "x")))</f>
        <v>x</v>
      </c>
      <c r="BH205" s="21"/>
    </row>
    <row r="206" spans="2:60" ht="15.6" x14ac:dyDescent="0.3">
      <c r="B206" s="71"/>
      <c r="C206" s="77"/>
      <c r="D206" s="82" t="s">
        <v>249</v>
      </c>
      <c r="E206" s="54">
        <f>SUM(H206:BG206)</f>
        <v>16</v>
      </c>
      <c r="F206" s="115">
        <f>Gant_24!$E206-E208</f>
        <v>16</v>
      </c>
      <c r="H206" s="41"/>
      <c r="I206" s="42"/>
      <c r="J206" s="42"/>
      <c r="K206" s="42"/>
      <c r="L206" s="51"/>
      <c r="M206" s="51"/>
      <c r="N206" s="51"/>
      <c r="O206" s="51"/>
      <c r="P206" s="51"/>
      <c r="Q206" s="51"/>
      <c r="R206" s="51"/>
      <c r="S206" s="51"/>
      <c r="T206" s="51"/>
      <c r="U206" s="51"/>
      <c r="V206" s="51"/>
      <c r="W206" s="51"/>
      <c r="X206" s="51"/>
      <c r="Y206" s="51"/>
      <c r="Z206" s="51"/>
      <c r="AA206" s="51"/>
      <c r="AB206" s="51"/>
      <c r="AC206" s="51"/>
      <c r="AD206" s="51">
        <v>16</v>
      </c>
      <c r="AE206" s="51"/>
      <c r="AF206" s="51"/>
      <c r="AG206" s="51"/>
      <c r="AH206" s="51"/>
      <c r="AI206" s="51"/>
      <c r="AJ206" s="51"/>
      <c r="AK206" s="51"/>
      <c r="AL206" s="51"/>
      <c r="AM206" s="51"/>
      <c r="AN206" s="51"/>
      <c r="AO206" s="51"/>
      <c r="AP206" s="51"/>
      <c r="AQ206" s="51"/>
      <c r="AR206" s="51"/>
      <c r="AS206" s="51"/>
      <c r="AT206" s="51"/>
      <c r="AU206" s="51"/>
      <c r="AV206" s="51"/>
      <c r="AW206" s="51"/>
      <c r="AX206" s="51"/>
      <c r="AY206" s="51"/>
      <c r="AZ206" s="51"/>
      <c r="BA206" s="51"/>
      <c r="BB206" s="51"/>
      <c r="BC206" s="51"/>
      <c r="BD206" s="51"/>
      <c r="BE206" s="51"/>
      <c r="BF206" s="51"/>
      <c r="BG206" s="51"/>
      <c r="BH206" s="21"/>
    </row>
    <row r="207" spans="2:60" ht="15.6" x14ac:dyDescent="0.3">
      <c r="B207" s="68"/>
      <c r="C207" s="78"/>
      <c r="D207" s="83" t="s">
        <v>261</v>
      </c>
      <c r="E207" s="55">
        <f>SUM(H207:BG207)</f>
        <v>0</v>
      </c>
      <c r="F207" s="116"/>
      <c r="H207" s="43"/>
      <c r="I207" s="44"/>
      <c r="J207" s="44"/>
      <c r="K207" s="44"/>
      <c r="L207" s="50"/>
      <c r="M207" s="50"/>
      <c r="N207" s="50"/>
      <c r="O207" s="50"/>
      <c r="P207" s="50"/>
      <c r="Q207" s="50"/>
      <c r="R207" s="50"/>
      <c r="S207" s="50"/>
      <c r="T207" s="50"/>
      <c r="U207" s="50"/>
      <c r="V207" s="50"/>
      <c r="W207" s="50"/>
      <c r="X207" s="50"/>
      <c r="Y207" s="50"/>
      <c r="Z207" s="50"/>
      <c r="AA207" s="50"/>
      <c r="AB207" s="50"/>
      <c r="AC207" s="50"/>
      <c r="AD207" s="50"/>
      <c r="AE207" s="50"/>
      <c r="AF207" s="50"/>
      <c r="AG207" s="50"/>
      <c r="AH207" s="50"/>
      <c r="AI207" s="50"/>
      <c r="AJ207" s="50"/>
      <c r="AK207" s="50"/>
      <c r="AL207" s="50"/>
      <c r="AM207" s="50"/>
      <c r="AN207" s="50"/>
      <c r="AO207" s="50"/>
      <c r="AP207" s="50"/>
      <c r="AQ207" s="50"/>
      <c r="AR207" s="50"/>
      <c r="AS207" s="50"/>
      <c r="AT207" s="50"/>
      <c r="AU207" s="50"/>
      <c r="AV207" s="50"/>
      <c r="AW207" s="50"/>
      <c r="AX207" s="50"/>
      <c r="AY207" s="50"/>
      <c r="AZ207" s="50"/>
      <c r="BA207" s="50"/>
      <c r="BB207" s="50"/>
      <c r="BC207" s="50"/>
      <c r="BD207" s="50"/>
      <c r="BE207" s="50"/>
      <c r="BF207" s="50"/>
      <c r="BG207" s="50"/>
      <c r="BH207" s="21"/>
    </row>
    <row r="208" spans="2:60" ht="15.6" x14ac:dyDescent="0.3">
      <c r="B208" s="68" t="s">
        <v>175</v>
      </c>
      <c r="C208" s="78" t="s">
        <v>176</v>
      </c>
      <c r="D208" s="83" t="s">
        <v>241</v>
      </c>
      <c r="E208" s="55">
        <f>SUM(H208:BG208)</f>
        <v>0</v>
      </c>
      <c r="F208" s="116"/>
      <c r="H208" s="45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  <c r="AG208" s="46"/>
      <c r="AH208" s="46"/>
      <c r="AI208" s="46"/>
      <c r="AJ208" s="46"/>
      <c r="AK208" s="46"/>
      <c r="AL208" s="46"/>
      <c r="AM208" s="46"/>
      <c r="AN208" s="46"/>
      <c r="AO208" s="46"/>
      <c r="AP208" s="46"/>
      <c r="AQ208" s="46"/>
      <c r="AR208" s="46"/>
      <c r="AS208" s="46"/>
      <c r="AT208" s="46"/>
      <c r="AU208" s="46"/>
      <c r="AV208" s="46"/>
      <c r="AW208" s="46"/>
      <c r="AX208" s="46"/>
      <c r="AY208" s="46"/>
      <c r="AZ208" s="46"/>
      <c r="BA208" s="46"/>
      <c r="BB208" s="46"/>
      <c r="BC208" s="46"/>
      <c r="BD208" s="46"/>
      <c r="BE208" s="46"/>
      <c r="BF208" s="46"/>
      <c r="BG208" s="46"/>
      <c r="BH208" s="26"/>
    </row>
    <row r="209" spans="2:60" ht="15.6" x14ac:dyDescent="0.3">
      <c r="B209" s="68"/>
      <c r="C209" s="78"/>
      <c r="D209" s="83" t="s">
        <v>278</v>
      </c>
      <c r="E209" s="56">
        <f ca="1">MAX(H209:BG209)</f>
        <v>0</v>
      </c>
      <c r="F209" s="116"/>
      <c r="H209" s="47"/>
      <c r="I209" s="48"/>
      <c r="J209" s="48"/>
      <c r="K209" s="48"/>
      <c r="L209" s="50"/>
      <c r="M209" s="50"/>
      <c r="N209" s="50"/>
      <c r="O209" s="50"/>
      <c r="P209" s="50"/>
      <c r="Q209" s="50"/>
      <c r="R209" s="50"/>
      <c r="S209" s="50"/>
      <c r="T209" s="50"/>
      <c r="U209" s="50"/>
      <c r="V209" s="50"/>
      <c r="W209" s="50"/>
      <c r="X209" s="50"/>
      <c r="Y209" s="50"/>
      <c r="Z209" s="50"/>
      <c r="AA209" s="44"/>
      <c r="AB209" s="44"/>
      <c r="AC209" s="44"/>
      <c r="AD209" s="44" t="str">
        <f>IF(SUM(H206:BG206) = AD208, " 0 ", " ")</f>
        <v xml:space="preserve"> </v>
      </c>
      <c r="AE209" s="44" t="str">
        <f ca="1">IF(AE9&gt;WEEKNUM(TODAY())," ", IF(AND(AE10="x",SUM($AD208:AE208)&gt;$AD206),H9-(SUM($AD208:AE208)/SUM($AD206:$BG206)),IF(SUM($AD208:AE208)&gt;=$AD206," ",H9-(SUM($AD208:AE208)/(SUM($AD206:$BG206))))))</f>
        <v xml:space="preserve"> </v>
      </c>
      <c r="AF209" s="44" t="str">
        <f ca="1">IF(AF9&gt;WEEKNUM(TODAY())," ", IF(AND(AF10="x",SUM($AD208:AF208)&gt;$AD206),I9-(SUM($AD208:AF208)/SUM($AD206:$BG206)),IF(SUM($AD208:AF208)&gt;=$AD206," ",I9-(SUM($AD208:AF208)/(SUM($AD206:$BG206))))))</f>
        <v xml:space="preserve"> </v>
      </c>
      <c r="AG209" s="44" t="str">
        <f ca="1">IF(AG9&gt;WEEKNUM(TODAY())," ", IF(AND(AG10="x",SUM($AD208:AG208)&gt;$AD206),J9-(SUM($AD208:AG208)/SUM($AD206:$BG206)),IF(SUM($AD208:AG208)&gt;=$AD206," ",J9-(SUM($AD208:AG208)/(SUM($AD206:$BG206))))))</f>
        <v xml:space="preserve"> </v>
      </c>
      <c r="AH209" s="44" t="str">
        <f ca="1">IF(AH9&gt;WEEKNUM(TODAY())," ", IF(AND(AH10="x",SUM($AD208:AH208)&gt;$AD206),K9-(SUM($AD208:AH208)/SUM($AD206:$BG206)),IF(SUM($AD208:AH208)&gt;=$AD206," ",K9-(SUM($AD208:AH208)/(SUM($AD206:$BG206))))))</f>
        <v xml:space="preserve"> </v>
      </c>
      <c r="AI209" s="44" t="str">
        <f ca="1">IF(AI9&gt;WEEKNUM(TODAY())," ", IF(AND(AI10="x",SUM($AD208:AI208)&gt;$AD206),L9-(SUM($AD208:AI208)/SUM($AD206:$BG206)),IF(SUM($AD208:AI208)&gt;=$AD206," ",L9-(SUM($AD208:AI208)/(SUM($AD206:$BG206))))))</f>
        <v xml:space="preserve"> </v>
      </c>
      <c r="AJ209" s="44" t="str">
        <f ca="1">IF(AJ9&gt;WEEKNUM(TODAY())," ", IF(AND(AJ10="x",SUM($AD208:AJ208)&gt;$AD206),M9-(SUM($AD208:AJ208)/SUM($AD206:$BG206)),IF(SUM($AD208:AJ208)&gt;=$AD206," ",M9-(SUM($AD208:AJ208)/(SUM($AD206:$BG206))))))</f>
        <v xml:space="preserve"> </v>
      </c>
      <c r="AK209" s="44" t="str">
        <f ca="1">IF(AK9&gt;WEEKNUM(TODAY())," ", IF(AND(AK10="x",SUM($AD208:AK208)&gt;$AD206),N9-(SUM($AD208:AK208)/SUM($AD206:$BG206)),IF(SUM($AD208:AK208)&gt;=$AD206," ",N9-(SUM($AD208:AK208)/(SUM($AD206:$BG206))))))</f>
        <v xml:space="preserve"> </v>
      </c>
      <c r="AL209" s="44" t="str">
        <f ca="1">IF(AL9&gt;WEEKNUM(TODAY())," ", IF(AND(AL10="x",SUM($AD208:AL208)&gt;$AD206),O9-(SUM($AD208:AL208)/SUM($AD206:$BG206)),IF(SUM($AD208:AL208)&gt;=$AD206," ",O9-(SUM($AD208:AL208)/(SUM($AD206:$BG206))))))</f>
        <v xml:space="preserve"> </v>
      </c>
      <c r="AM209" s="44" t="str">
        <f ca="1">IF(AM9&gt;WEEKNUM(TODAY())," ", IF(AND(AM10="x",SUM($AD208:AM208)&gt;$AD206),P9-(SUM($AD208:AM208)/SUM($AD206:$BG206)),IF(SUM($AD208:AM208)&gt;=$AD206," ",P9-(SUM($AD208:AM208)/(SUM($AD206:$BG206))))))</f>
        <v xml:space="preserve"> </v>
      </c>
      <c r="AN209" s="44" t="str">
        <f ca="1">IF(AN9&gt;WEEKNUM(TODAY())," ", IF(AND(AN10="x",SUM($AD208:AN208)&gt;$AD206),Q9-(SUM($AD208:AN208)/SUM($AD206:$BG206)),IF(SUM($AD208:AN208)&gt;=$AD206," ",Q9-(SUM($AD208:AN208)/(SUM($AD206:$BG206))))))</f>
        <v xml:space="preserve"> </v>
      </c>
      <c r="AO209" s="44" t="str">
        <f ca="1">IF(AO9&gt;WEEKNUM(TODAY())," ", IF(AND(AO10="x",SUM($AD208:AO208)&gt;$AD206),R9-(SUM($AD208:AO208)/SUM($AD206:$BG206)),IF(SUM($AD208:AO208)&gt;=$AD206," ",R9-(SUM($AD208:AO208)/(SUM($AD206:$BG206))))))</f>
        <v xml:space="preserve"> </v>
      </c>
      <c r="AP209" s="44" t="str">
        <f ca="1">IF(AP9&gt;WEEKNUM(TODAY())," ", IF(AND(AP10="x",SUM($AD208:AP208)&gt;$AD206),S9-(SUM($AD208:AP208)/SUM($AD206:$BG206)),IF(SUM($AD208:AP208)&gt;=$AD206," ",S9-(SUM($AD208:AP208)/(SUM($AD206:$BG206))))))</f>
        <v xml:space="preserve"> </v>
      </c>
      <c r="AQ209" s="44" t="str">
        <f ca="1">IF(AQ9&gt;WEEKNUM(TODAY())," ", IF(AND(AQ10="x",SUM($AD208:AQ208)&gt;$AD206),T9-(SUM($AD208:AQ208)/SUM($AD206:$BG206)),IF(SUM($AD208:AQ208)&gt;=$AD206," ",T9-(SUM($AD208:AQ208)/(SUM($AD206:$BG206))))))</f>
        <v xml:space="preserve"> </v>
      </c>
      <c r="AR209" s="44" t="str">
        <f ca="1">IF(AR9&gt;WEEKNUM(TODAY())," ", IF(AND(AR10="x",SUM($AD208:AR208)&gt;$AD206),U9-(SUM($AD208:AR208)/SUM($AD206:$BG206)),IF(SUM($AD208:AR208)&gt;=$AD206," ",U9-(SUM($AD208:AR208)/(SUM($AD206:$BG206))))))</f>
        <v xml:space="preserve"> </v>
      </c>
      <c r="AS209" s="44" t="str">
        <f ca="1">IF(AS9&gt;WEEKNUM(TODAY())," ", IF(AND(AS10="x",SUM($AD208:AS208)&gt;$AD206),V9-(SUM($AD208:AS208)/SUM($AD206:$BG206)),IF(SUM($AD208:AS208)&gt;=$AD206," ",V9-(SUM($AD208:AS208)/(SUM($AD206:$BG206))))))</f>
        <v xml:space="preserve"> </v>
      </c>
      <c r="AT209" s="44" t="str">
        <f ca="1">IF(AT9&gt;WEEKNUM(TODAY())," ", IF(AND(AT10="x",SUM($AD208:AT208)&gt;$AD206),W9-(SUM($AD208:AT208)/SUM($AD206:$BG206)),IF(SUM($AD208:AT208)&gt;=$AD206," ",W9-(SUM($AD208:AT208)/(SUM($AD206:$BG206))))))</f>
        <v xml:space="preserve"> </v>
      </c>
      <c r="AU209" s="44" t="str">
        <f ca="1">IF(AU9&gt;WEEKNUM(TODAY())," ", IF(AND(AU10="x",SUM($AD208:AU208)&gt;$AD206),X9-(SUM($AD208:AU208)/SUM($AD206:$BG206)),IF(SUM($AD208:AU208)&gt;=$AD206," ",X9-(SUM($AD208:AU208)/(SUM($AD206:$BG206))))))</f>
        <v xml:space="preserve"> </v>
      </c>
      <c r="AV209" s="44" t="str">
        <f ca="1">IF(AV9&gt;WEEKNUM(TODAY())," ", IF(AND(AV10="x",SUM($AD208:AV208)&gt;$AD206),Y9-(SUM($AD208:AV208)/SUM($AD206:$BG206)),IF(SUM($AD208:AV208)&gt;=$AD206," ",Y9-(SUM($AD208:AV208)/(SUM($AD206:$BG206))))))</f>
        <v xml:space="preserve"> </v>
      </c>
      <c r="AW209" s="44" t="str">
        <f ca="1">IF(AW9&gt;WEEKNUM(TODAY())," ", IF(AND(AW10="x",SUM($AD208:AW208)&gt;$AD206),Z9-(SUM($AD208:AW208)/SUM($AD206:$BG206)),IF(SUM($AD208:AW208)&gt;=$AD206," ",Z9-(SUM($AD208:AW208)/(SUM($AD206:$BG206))))))</f>
        <v xml:space="preserve"> </v>
      </c>
      <c r="AX209" s="44" t="str">
        <f ca="1">IF(AX9&gt;WEEKNUM(TODAY())," ", IF(AND(AX10="x",SUM($AD208:AX208)&gt;$AD206),AA9-(SUM($AD208:AX208)/SUM($AD206:$BG206)),IF(SUM($AD208:AX208)&gt;=$AD206," ",AA9-(SUM($AD208:AX208)/(SUM($AD206:$BG206))))))</f>
        <v xml:space="preserve"> </v>
      </c>
      <c r="AY209" s="44" t="str">
        <f ca="1">IF(AY9&gt;WEEKNUM(TODAY())," ", IF(AND(AY10="x",SUM($AD208:AY208)&gt;$AD206),AB9-(SUM($AD208:AY208)/SUM($AD206:$BG206)),IF(SUM($AD208:AY208)&gt;=$AD206," ",AB9-(SUM($AD208:AY208)/(SUM($AD206:$BG206))))))</f>
        <v xml:space="preserve"> </v>
      </c>
      <c r="AZ209" s="44" t="str">
        <f ca="1">IF(AZ9&gt;WEEKNUM(TODAY())," ", IF(AND(AZ10="x",SUM($AD208:AZ208)&gt;$AD206),AC9-(SUM($AD208:AZ208)/SUM($AD206:$BG206)),IF(SUM($AD208:AZ208)&gt;=$AD206," ",AC9-(SUM($AD208:AZ208)/(SUM($AD206:$BG206))))))</f>
        <v xml:space="preserve"> </v>
      </c>
      <c r="BA209" s="44" t="str">
        <f ca="1">IF(BA9&gt;WEEKNUM(TODAY())," ", IF(AND(BA10="x",SUM($AD208:BA208)&gt;$AD206),AD9-(SUM($AD208:BA208)/SUM($AD206:$BG206)),IF(SUM($AD208:BA208)&gt;=$AD206," ",AD9-(SUM($AD208:BA208)/(SUM($AD206:$BG206))))))</f>
        <v xml:space="preserve"> </v>
      </c>
      <c r="BB209" s="44" t="str">
        <f ca="1">IF(BB9&gt;WEEKNUM(TODAY())," ", IF(AND(BB10="x",SUM($AD208:BB208)&gt;$AD206),AE9-(SUM($AD208:BB208)/SUM($AD206:$BG206)),IF(SUM($AD208:BB208)&gt;=$AD206," ",AE9-(SUM($AD208:BB208)/(SUM($AD206:$BG206))))))</f>
        <v xml:space="preserve"> </v>
      </c>
      <c r="BC209" s="44" t="str">
        <f ca="1">IF(BC9&gt;WEEKNUM(TODAY())," ", IF(AND(BC10="x",SUM($AD208:BC208)&gt;$AD206),AF9-(SUM($AD208:BC208)/SUM($AD206:$BG206)),IF(SUM($AD208:BC208)&gt;=$AD206," ",AF9-(SUM($AD208:BC208)/(SUM($AD206:$BG206))))))</f>
        <v xml:space="preserve"> </v>
      </c>
      <c r="BD209" s="44" t="str">
        <f ca="1">IF(BD9&gt;WEEKNUM(TODAY())," ", IF(AND(BD10="x",SUM($AD208:BD208)&gt;$AD206),AG9-(SUM($AD208:BD208)/SUM($AD206:$BG206)),IF(SUM($AD208:BD208)&gt;=$AD206," ",AG9-(SUM($AD208:BD208)/(SUM($AD206:$BG206))))))</f>
        <v xml:space="preserve"> </v>
      </c>
      <c r="BE209" s="44" t="str">
        <f ca="1">IF(BE9&gt;WEEKNUM(TODAY())," ", IF(AND(BE10="x",SUM($AD208:BE208)&gt;$AD206),AH9-(SUM($AD208:BE208)/SUM($AD206:$BG206)),IF(SUM($AD208:BE208)&gt;=$AD206," ",AH9-(SUM($AD208:BE208)/(SUM($AD206:$BG206))))))</f>
        <v xml:space="preserve"> </v>
      </c>
      <c r="BF209" s="44" t="str">
        <f ca="1">IF(BF9&gt;WEEKNUM(TODAY())," ", IF(AND(BF10="x",SUM($AD208:BF208)&gt;$AD206),AI9-(SUM($AD208:BF208)/SUM($AD206:$BG206)),IF(SUM($AD208:BF208)&gt;=$AD206," ",AI9-(SUM($AD208:BF208)/(SUM($AD206:$BG206))))))</f>
        <v xml:space="preserve"> </v>
      </c>
      <c r="BG209" s="44" t="str">
        <f ca="1">IF(BG9&gt;WEEKNUM(TODAY())," ", IF(AND(BG10="x",SUM($AD208:BG208)&gt;$AD206),AJ9-(SUM($AD208:BG208)/SUM($AD206:$BG206)),IF(SUM($AD208:BG208)&gt;=$AD206," ",AJ9-(SUM($AD208:BG208)/(SUM($AD206:$BG206))))))</f>
        <v xml:space="preserve"> </v>
      </c>
      <c r="BH209" s="26"/>
    </row>
    <row r="210" spans="2:60" ht="16.2" thickBot="1" x14ac:dyDescent="0.35">
      <c r="B210" s="70"/>
      <c r="C210" s="79"/>
      <c r="D210" s="84"/>
      <c r="E210" s="57"/>
      <c r="F210" s="117"/>
      <c r="H210" s="49" t="str">
        <f>IF(H206= " ", " ",IF(H208&gt;SUM($H206:$BG206), " N/A", IF(SUM($H208:$BG208)=SUM($H206:BG206), " ", IF(H208=SUM($H206:BG206), " ", "x"))))</f>
        <v>x</v>
      </c>
      <c r="I210" s="50" t="str">
        <f>IF(SUM($H208:I208) &gt; SUM($H206:I206),  " N/A", IF(SUM($H208:$BG208) = SUM($H206:$BH206),    " ",IF(I208 = SUM($H206:$BH206),  " ",   "x")))</f>
        <v>x</v>
      </c>
      <c r="J210" s="50" t="str">
        <f>IF(SUM($H208:J208) &gt; SUM($H206:J206),  " N/A", IF(SUM($H208:$BG208) = SUM($H206:$BH206),    " ",IF(J208 = SUM($H206:$BH206),  " ",   "x")))</f>
        <v>x</v>
      </c>
      <c r="K210" s="50" t="str">
        <f>IF(SUM($H208:K208) &gt; SUM($H206:K206),  " N/A", IF(SUM($H208:$BG208) = SUM($H206:$BH206),    " ",IF(K208 = SUM($H206:$BH206),  " ",   "x")))</f>
        <v>x</v>
      </c>
      <c r="L210" s="50" t="str">
        <f>IF(SUM($H208:L208) &gt; SUM($H206:L206),  " N/A", IF(SUM($H208:$BG208) = SUM($H206:$BH206),    " ",IF(L208 = SUM($H206:$BH206),  " ",   "x")))</f>
        <v>x</v>
      </c>
      <c r="M210" s="50" t="str">
        <f>IF(SUM($H208:M208) &gt; SUM($H206:M206),  " N/A", IF(SUM($H208:$BG208) = SUM($H206:$BH206),    " ",IF(M208 = SUM($H206:$BH206),  " ",   "x")))</f>
        <v>x</v>
      </c>
      <c r="N210" s="50" t="str">
        <f>IF(SUM($H208:N208) &gt; SUM($H206:N206),  " N/A", IF(SUM($H208:$BG208) = SUM($H206:$BH206),    " ",IF(N208 = SUM($H206:$BH206),  " ",   "x")))</f>
        <v>x</v>
      </c>
      <c r="O210" s="50" t="str">
        <f>IF(SUM($H208:O208) &gt; SUM($H206:O206),  " N/A", IF(SUM($H208:$BG208) = SUM($H206:$BH206),    " ",IF(O208 = SUM($H206:$BH206),  " ",   "x")))</f>
        <v>x</v>
      </c>
      <c r="P210" s="50" t="str">
        <f>IF(SUM($H208:P208) &gt; SUM($H206:P206),  " N/A", IF(SUM($H208:$BG208) = SUM($H206:$BH206),    " ",IF(P208 = SUM($H206:$BH206),  " ",   "x")))</f>
        <v>x</v>
      </c>
      <c r="Q210" s="50" t="str">
        <f>IF(SUM($H208:Q208) &gt; SUM($H206:Q206),  " N/A", IF(SUM($H208:$BG208) = SUM($H206:$BH206),    " ",IF(Q208 = SUM($H206:$BH206),  " ",   "x")))</f>
        <v>x</v>
      </c>
      <c r="R210" s="50" t="str">
        <f>IF(SUM($H208:R208) &gt; SUM($H206:R206),  " N/A", IF(SUM($H208:$BG208) = SUM($H206:$BH206),    " ",IF(R208 = SUM($H206:$BH206),  " ",   "x")))</f>
        <v>x</v>
      </c>
      <c r="S210" s="50" t="str">
        <f>IF(SUM($H208:S208) &gt; SUM($H206:S206),  " N/A", IF(SUM($H208:$BG208) = SUM($H206:$BH206),    " ",IF(S208 = SUM($H206:$BH206),  " ",   "x")))</f>
        <v>x</v>
      </c>
      <c r="T210" s="50" t="str">
        <f>IF(SUM($H208:T208) &gt; SUM($H206:T206),  " N/A", IF(SUM($H208:$BG208) = SUM($H206:$BH206),    " ",IF(T208 = SUM($H206:$BH206),  " ",   "x")))</f>
        <v>x</v>
      </c>
      <c r="U210" s="50" t="str">
        <f>IF(SUM($H208:U208) &gt; SUM($H206:U206),  " N/A", IF(SUM($H208:$BG208) = SUM($H206:$BH206),    " ",IF(U208 = SUM($H206:$BH206),  " ",   "x")))</f>
        <v>x</v>
      </c>
      <c r="V210" s="50" t="str">
        <f>IF(SUM($H208:V208) &gt; SUM($H206:V206),  " N/A", IF(SUM($H208:$BG208) = SUM($H206:$BH206),    " ",IF(V208 = SUM($H206:$BH206),  " ",   "x")))</f>
        <v>x</v>
      </c>
      <c r="W210" s="50" t="str">
        <f>IF(SUM($H208:W208) &gt; SUM($H206:W206),  " N/A", IF(SUM($H208:$BG208) = SUM($H206:$BH206),    " ",IF(W208 = SUM($H206:$BH206),  " ",   "x")))</f>
        <v>x</v>
      </c>
      <c r="X210" s="50" t="str">
        <f>IF(SUM($H208:X208) &gt; SUM($H206:X206),  " N/A", IF(SUM($H208:$BG208) = SUM($H206:$BH206),    " ",IF(X208 = SUM($H206:$BH206),  " ",   "x")))</f>
        <v>x</v>
      </c>
      <c r="Y210" s="50" t="str">
        <f>IF(SUM($H208:Y208) &gt; SUM($H206:Y206),  " N/A", IF(SUM($H208:$BG208) = SUM($H206:$BH206),    " ",IF(Y208 = SUM($H206:$BH206),  " ",   "x")))</f>
        <v>x</v>
      </c>
      <c r="Z210" s="50" t="str">
        <f>IF(SUM($H208:Z208) &gt; SUM($H206:Z206),  " N/A", IF(SUM($H208:$BG208) = SUM($H206:$BH206),    " ",IF(Z208 = SUM($H206:$BH206),  " ",   "x")))</f>
        <v>x</v>
      </c>
      <c r="AA210" s="50" t="str">
        <f>IF(SUM($H208:AA208) &gt; SUM($H206:AA206),  " N/A", IF(SUM($H208:$BG208) = SUM($H206:$BH206),    " ",IF(AA208 = SUM($H206:$BH206),  " ",   "x")))</f>
        <v>x</v>
      </c>
      <c r="AB210" s="50" t="str">
        <f>IF(SUM($H208:AB208) &gt; SUM($H206:AB206),  " N/A", IF(SUM($H208:$BG208) = SUM($H206:$BH206),    " ",IF(AB208 = SUM($H206:$BH206),  " ",   "x")))</f>
        <v>x</v>
      </c>
      <c r="AC210" s="50" t="str">
        <f>IF(SUM($H208:AC208) &gt; SUM($H206:AC206),  " N/A", IF(SUM($H208:$BG208) = SUM($H206:$BH206),    " ",IF(AC208 = SUM($H206:$BH206),  " ",   "x")))</f>
        <v>x</v>
      </c>
      <c r="AD210" s="50" t="str">
        <f>IF(SUM($H208:AD208) &gt; SUM($H206:AD206),  " N/A", IF(SUM($H208:$BG208) = SUM($H206:$BH206),    " ",IF(AD208 = SUM($H206:$BH206),  " ",   "x")))</f>
        <v>x</v>
      </c>
      <c r="AE210" s="50" t="str">
        <f>IF(SUM($H208:AE208) &gt; SUM($H206:AE206),  " N/A", IF(SUM($H208:$BG208) = SUM($H206:$BH206),    " ",IF(AE208 = SUM($H206:$BH206),  " ",   "x")))</f>
        <v>x</v>
      </c>
      <c r="AF210" s="50" t="str">
        <f>IF(SUM($H208:AF208) &gt; SUM($H206:AF206),  " N/A", IF(SUM($H208:$BG208) = SUM($H206:$BH206),    " ",IF(AF208 = SUM($H206:$BH206),  " ",   "x")))</f>
        <v>x</v>
      </c>
      <c r="AG210" s="50" t="str">
        <f>IF(SUM($H208:AG208) &gt; SUM($H206:AG206),  " N/A", IF(SUM($H208:$BG208) = SUM($H206:$BH206),    " ",IF(AG208 = SUM($H206:$BH206),  " ",   "x")))</f>
        <v>x</v>
      </c>
      <c r="AH210" s="50" t="str">
        <f>IF(SUM($H208:AH208) &gt; SUM($H206:AH206),  " N/A", IF(SUM($H208:$BG208) = SUM($H206:$BH206),    " ",IF(AH208 = SUM($H206:$BH206),  " ",   "x")))</f>
        <v>x</v>
      </c>
      <c r="AI210" s="50" t="str">
        <f>IF(SUM($H208:AI208) &gt; SUM($H206:AI206),  " N/A", IF(SUM($H208:$BG208) = SUM($H206:$BH206),    " ",IF(AI208 = SUM($H206:$BH206),  " ",   "x")))</f>
        <v>x</v>
      </c>
      <c r="AJ210" s="50" t="str">
        <f>IF(SUM($H208:AJ208) &gt; SUM($H206:AJ206),  " N/A", IF(SUM($H208:$BG208) = SUM($H206:$BH206),    " ",IF(AJ208 = SUM($H206:$BH206),  " ",   "x")))</f>
        <v>x</v>
      </c>
      <c r="AK210" s="50" t="str">
        <f>IF(SUM($H208:AK208) &gt; SUM($H206:AK206),  " N/A", IF(SUM($H208:$BG208) = SUM($H206:$BH206),    " ",IF(AK208 = SUM($H206:$BH206),  " ",   "x")))</f>
        <v>x</v>
      </c>
      <c r="AL210" s="50" t="str">
        <f>IF(SUM($H208:AL208) &gt; SUM($H206:AL206),  " N/A", IF(SUM($H208:$BG208) = SUM($H206:$BH206),    " ",IF(AL208 = SUM($H206:$BH206),  " ",   "x")))</f>
        <v>x</v>
      </c>
      <c r="AM210" s="50" t="str">
        <f>IF(SUM($H208:AM208) &gt; SUM($H206:AM206),  " N/A", IF(SUM($H208:$BG208) = SUM($H206:$BH206),    " ",IF(AM208 = SUM($H206:$BH206),  " ",   "x")))</f>
        <v>x</v>
      </c>
      <c r="AN210" s="50" t="str">
        <f>IF(SUM($H208:AN208) &gt; SUM($H206:AN206),  " N/A", IF(SUM($H208:$BG208) = SUM($H206:$BH206),    " ",IF(AN208 = SUM($H206:$BH206),  " ",   "x")))</f>
        <v>x</v>
      </c>
      <c r="AO210" s="50" t="str">
        <f>IF(SUM($H208:AO208) &gt; SUM($H206:AO206),  " N/A", IF(SUM($H208:$BG208) = SUM($H206:$BH206),    " ",IF(AO208 = SUM($H206:$BH206),  " ",   "x")))</f>
        <v>x</v>
      </c>
      <c r="AP210" s="50" t="str">
        <f>IF(SUM($H208:AP208) &gt; SUM($H206:AP206),  " N/A", IF(SUM($H208:$BG208) = SUM($H206:$BH206),    " ",IF(AP208 = SUM($H206:$BH206),  " ",   "x")))</f>
        <v>x</v>
      </c>
      <c r="AQ210" s="50" t="str">
        <f>IF(SUM($H208:AQ208) &gt; SUM($H206:AQ206),  " N/A", IF(SUM($H208:$BG208) = SUM($H206:$BH206),    " ",IF(AQ208 = SUM($H206:$BH206),  " ",   "x")))</f>
        <v>x</v>
      </c>
      <c r="AR210" s="50" t="str">
        <f>IF(SUM($H208:AR208) &gt; SUM($H206:AR206),  " N/A", IF(SUM($H208:$BG208) = SUM($H206:$BH206),    " ",IF(AR208 = SUM($H206:$BH206),  " ",   "x")))</f>
        <v>x</v>
      </c>
      <c r="AS210" s="50" t="str">
        <f>IF(SUM($H208:AS208) &gt; SUM($H206:AS206),  " N/A", IF(SUM($H208:$BG208) = SUM($H206:$BH206),    " ",IF(AS208 = SUM($H206:$BH206),  " ",   "x")))</f>
        <v>x</v>
      </c>
      <c r="AT210" s="50" t="str">
        <f>IF(SUM($H208:AT208) &gt; SUM($H206:AT206),  " N/A", IF(SUM($H208:$BG208) = SUM($H206:$BH206),    " ",IF(AT208 = SUM($H206:$BH206),  " ",   "x")))</f>
        <v>x</v>
      </c>
      <c r="AU210" s="50" t="str">
        <f>IF(SUM($H208:AU208) &gt; SUM($H206:AU206),  " N/A", IF(SUM($H208:$BG208) = SUM($H206:$BH206),    " ",IF(AU208 = SUM($H206:$BH206),  " ",   "x")))</f>
        <v>x</v>
      </c>
      <c r="AV210" s="50" t="str">
        <f>IF(SUM($H208:AV208) &gt; SUM($H206:AV206),  " N/A", IF(SUM($H208:$BG208) = SUM($H206:$BH206),    " ",IF(AV208 = SUM($H206:$BH206),  " ",   "x")))</f>
        <v>x</v>
      </c>
      <c r="AW210" s="50" t="str">
        <f>IF(SUM($H208:AW208) &gt; SUM($H206:AW206),  " N/A", IF(SUM($H208:$BG208) = SUM($H206:$BH206),    " ",IF(AW208 = SUM($H206:$BH206),  " ",   "x")))</f>
        <v>x</v>
      </c>
      <c r="AX210" s="50" t="str">
        <f>IF(SUM($H208:AX208) &gt; SUM($H206:AX206),  " N/A", IF(SUM($H208:$BG208) = SUM($H206:$BH206),    " ",IF(AX208 = SUM($H206:$BH206),  " ",   "x")))</f>
        <v>x</v>
      </c>
      <c r="AY210" s="50" t="str">
        <f>IF(SUM($H208:AY208) &gt; SUM($H206:AY206),  " N/A", IF(SUM($H208:$BG208) = SUM($H206:$BH206),    " ",IF(AY208 = SUM($H206:$BH206),  " ",   "x")))</f>
        <v>x</v>
      </c>
      <c r="AZ210" s="50" t="str">
        <f>IF(SUM($H208:AZ208) &gt; SUM($H206:AZ206),  " N/A", IF(SUM($H208:$BG208) = SUM($H206:$BH206),    " ",IF(AZ208 = SUM($H206:$BH206),  " ",   "x")))</f>
        <v>x</v>
      </c>
      <c r="BA210" s="50" t="str">
        <f>IF(SUM($H208:BA208) &gt; SUM($H206:BA206),  " N/A", IF(SUM($H208:$BG208) = SUM($H206:$BH206),    " ",IF(BA208 = SUM($H206:$BH206),  " ",   "x")))</f>
        <v>x</v>
      </c>
      <c r="BB210" s="50" t="str">
        <f>IF(SUM($H208:BB208) &gt; SUM($H206:BB206),  " N/A", IF(SUM($H208:$BG208) = SUM($H206:$BH206),    " ",IF(BB208 = SUM($H206:$BH206),  " ",   "x")))</f>
        <v>x</v>
      </c>
      <c r="BC210" s="50" t="str">
        <f>IF(SUM($H208:BC208) &gt; SUM($H206:BC206),  " N/A", IF(SUM($H208:$BG208) = SUM($H206:$BH206),    " ",IF(BC208 = SUM($H206:$BH206),  " ",   "x")))</f>
        <v>x</v>
      </c>
      <c r="BD210" s="50" t="str">
        <f>IF(SUM($H208:BD208) &gt; SUM($H206:BD206),  " N/A", IF(SUM($H208:$BG208) = SUM($H206:$BH206),    " ",IF(BD208 = SUM($H206:$BH206),  " ",   "x")))</f>
        <v>x</v>
      </c>
      <c r="BE210" s="50" t="str">
        <f>IF(SUM($H208:BE208) &gt; SUM($H206:BE206),  " N/A", IF(SUM($H208:$BG208) = SUM($H206:$BH206),    " ",IF(BE208 = SUM($H206:$BH206),  " ",   "x")))</f>
        <v>x</v>
      </c>
      <c r="BF210" s="50" t="str">
        <f>IF(SUM($H208:BF208) &gt; SUM($H206:BF206),  " N/A", IF(SUM($H208:$BG208) = SUM($H206:$BH206),    " ",IF(BF208 = SUM($H206:$BH206),  " ",   "x")))</f>
        <v>x</v>
      </c>
      <c r="BG210" s="50" t="str">
        <f>IF(SUM($H208:BG208) &gt; SUM($H206:BG206),  " N/A", IF(SUM($H208:$BG208) = SUM($H206:$BH206),    " ",IF(BG208 = SUM($H206:$BH206),  " ",   "x")))</f>
        <v>x</v>
      </c>
      <c r="BH210" s="21"/>
    </row>
    <row r="211" spans="2:60" ht="15.6" x14ac:dyDescent="0.3">
      <c r="B211" s="71"/>
      <c r="C211" s="77"/>
      <c r="D211" s="82" t="s">
        <v>249</v>
      </c>
      <c r="E211" s="54">
        <f>SUM(H211:BG211)</f>
        <v>16</v>
      </c>
      <c r="F211" s="115">
        <f>Gant_24!$E211-E213</f>
        <v>16</v>
      </c>
      <c r="H211" s="41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>
        <v>16</v>
      </c>
      <c r="AE211" s="51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42"/>
      <c r="BB211" s="42"/>
      <c r="BC211" s="42"/>
      <c r="BD211" s="42"/>
      <c r="BE211" s="42"/>
      <c r="BF211" s="42"/>
      <c r="BG211" s="42"/>
      <c r="BH211" s="21"/>
    </row>
    <row r="212" spans="2:60" ht="15.6" x14ac:dyDescent="0.3">
      <c r="B212" s="68"/>
      <c r="C212" s="78"/>
      <c r="D212" s="83" t="s">
        <v>261</v>
      </c>
      <c r="E212" s="55">
        <f>SUM(H212:BG212)</f>
        <v>0</v>
      </c>
      <c r="F212" s="116"/>
      <c r="H212" s="43"/>
      <c r="I212" s="44"/>
      <c r="J212" s="44"/>
      <c r="K212" s="44"/>
      <c r="L212" s="44"/>
      <c r="M212" s="44"/>
      <c r="N212" s="44"/>
      <c r="O212" s="44"/>
      <c r="P212" s="44"/>
      <c r="Q212" s="44"/>
      <c r="R212" s="44"/>
      <c r="S212" s="44"/>
      <c r="T212" s="44"/>
      <c r="U212" s="44"/>
      <c r="V212" s="44"/>
      <c r="W212" s="44"/>
      <c r="X212" s="44"/>
      <c r="Y212" s="44"/>
      <c r="Z212" s="44"/>
      <c r="AA212" s="44"/>
      <c r="AB212" s="44"/>
      <c r="AC212" s="44"/>
      <c r="AD212" s="44"/>
      <c r="AE212" s="50"/>
      <c r="AF212" s="44"/>
      <c r="AG212" s="44"/>
      <c r="AH212" s="44"/>
      <c r="AI212" s="44"/>
      <c r="AJ212" s="44"/>
      <c r="AK212" s="44"/>
      <c r="AL212" s="44"/>
      <c r="AM212" s="44"/>
      <c r="AN212" s="44"/>
      <c r="AO212" s="44"/>
      <c r="AP212" s="44"/>
      <c r="AQ212" s="44"/>
      <c r="AR212" s="44"/>
      <c r="AS212" s="44"/>
      <c r="AT212" s="44"/>
      <c r="AU212" s="44"/>
      <c r="AV212" s="44"/>
      <c r="AW212" s="44"/>
      <c r="AX212" s="44"/>
      <c r="AY212" s="44"/>
      <c r="AZ212" s="44"/>
      <c r="BA212" s="44"/>
      <c r="BB212" s="44"/>
      <c r="BC212" s="44"/>
      <c r="BD212" s="44"/>
      <c r="BE212" s="44"/>
      <c r="BF212" s="44"/>
      <c r="BG212" s="44"/>
      <c r="BH212" s="21"/>
    </row>
    <row r="213" spans="2:60" ht="15.6" x14ac:dyDescent="0.3">
      <c r="B213" s="68" t="s">
        <v>178</v>
      </c>
      <c r="C213" s="78" t="s">
        <v>179</v>
      </c>
      <c r="D213" s="83" t="s">
        <v>241</v>
      </c>
      <c r="E213" s="55">
        <f>SUM(H213:BG213)</f>
        <v>0</v>
      </c>
      <c r="F213" s="116"/>
      <c r="H213" s="45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  <c r="AG213" s="46"/>
      <c r="AH213" s="46"/>
      <c r="AI213" s="46"/>
      <c r="AJ213" s="46"/>
      <c r="AK213" s="46"/>
      <c r="AL213" s="46"/>
      <c r="AM213" s="46"/>
      <c r="AN213" s="46"/>
      <c r="AO213" s="46"/>
      <c r="AP213" s="46"/>
      <c r="AQ213" s="46"/>
      <c r="AR213" s="46"/>
      <c r="AS213" s="46"/>
      <c r="AT213" s="46"/>
      <c r="AU213" s="46"/>
      <c r="AV213" s="46"/>
      <c r="AW213" s="46"/>
      <c r="AX213" s="46"/>
      <c r="AY213" s="46"/>
      <c r="AZ213" s="46"/>
      <c r="BA213" s="46"/>
      <c r="BB213" s="46"/>
      <c r="BC213" s="46"/>
      <c r="BD213" s="46"/>
      <c r="BE213" s="46"/>
      <c r="BF213" s="46"/>
      <c r="BG213" s="46"/>
      <c r="BH213" s="21"/>
    </row>
    <row r="214" spans="2:60" ht="15.6" x14ac:dyDescent="0.3">
      <c r="B214" s="68"/>
      <c r="C214" s="78"/>
      <c r="D214" s="83" t="s">
        <v>278</v>
      </c>
      <c r="E214" s="56">
        <f ca="1">MAX(H214:BG214)</f>
        <v>0</v>
      </c>
      <c r="F214" s="116"/>
      <c r="H214" s="47"/>
      <c r="I214" s="48"/>
      <c r="J214" s="48"/>
      <c r="K214" s="48"/>
      <c r="L214" s="44"/>
      <c r="M214" s="44"/>
      <c r="N214" s="44"/>
      <c r="O214" s="44"/>
      <c r="P214" s="44"/>
      <c r="Q214" s="44"/>
      <c r="R214" s="44"/>
      <c r="S214" s="44"/>
      <c r="T214" s="44"/>
      <c r="U214" s="44"/>
      <c r="V214" s="44"/>
      <c r="W214" s="44"/>
      <c r="X214" s="44"/>
      <c r="Y214" s="44"/>
      <c r="Z214" s="44"/>
      <c r="AA214" s="44"/>
      <c r="AB214" s="44"/>
      <c r="AC214" s="44"/>
      <c r="AD214" s="44" t="str">
        <f>IF(SUM(H211:BG211) = AD213, " 0 ", " ")</f>
        <v xml:space="preserve"> </v>
      </c>
      <c r="AE214" s="44" t="str">
        <f ca="1">IF(AE9&gt;WEEKNUM(TODAY())," ", IF(AND(AE10="x",SUM($AD213:AE213)&gt;$AD211),H9-(SUM($AD213:AE213)/SUM($AD211:$BG211)),IF(SUM($AD213:AE213)&gt;=$AD211," ",H9-(SUM($AD213:AE213)/(SUM($AD211:$BG211))))))</f>
        <v xml:space="preserve"> </v>
      </c>
      <c r="AF214" s="44" t="str">
        <f ca="1">IF(AF9&gt;WEEKNUM(TODAY())," ", IF(AND(AF10="x",SUM($AD213:AF213)&gt;$AD211),I9-(SUM($AD213:AF213)/SUM($AD211:$BG211)),IF(SUM($AD213:AF213)&gt;=$AD211," ",I9-(SUM($AD213:AF213)/(SUM($AD211:$BG211))))))</f>
        <v xml:space="preserve"> </v>
      </c>
      <c r="AG214" s="44" t="str">
        <f ca="1">IF(AG9&gt;WEEKNUM(TODAY())," ", IF(AND(AG10="x",SUM($AD213:AG213)&gt;$AD211),J9-(SUM($AD213:AG213)/SUM($AD211:$BG211)),IF(SUM($AD213:AG213)&gt;=$AD211," ",J9-(SUM($AD213:AG213)/(SUM($AD211:$BG211))))))</f>
        <v xml:space="preserve"> </v>
      </c>
      <c r="AH214" s="44" t="str">
        <f ca="1">IF(AH9&gt;WEEKNUM(TODAY())," ", IF(AND(AH10="x",SUM($AD213:AH213)&gt;$AD211),K9-(SUM($AD213:AH213)/SUM($AD211:$BG211)),IF(SUM($AD213:AH213)&gt;=$AD211," ",K9-(SUM($AD213:AH213)/(SUM($AD211:$BG211))))))</f>
        <v xml:space="preserve"> </v>
      </c>
      <c r="AI214" s="44" t="str">
        <f ca="1">IF(AI9&gt;WEEKNUM(TODAY())," ", IF(AND(AI10="x",SUM($AD213:AI213)&gt;$AD211),L9-(SUM($AD213:AI213)/SUM($AD211:$BG211)),IF(SUM($AD213:AI213)&gt;=$AD211," ",L9-(SUM($AD213:AI213)/(SUM($AD211:$BG211))))))</f>
        <v xml:space="preserve"> </v>
      </c>
      <c r="AJ214" s="44" t="str">
        <f ca="1">IF(AJ9&gt;WEEKNUM(TODAY())," ", IF(AND(AJ10="x",SUM($AD213:AJ213)&gt;$AD211),M9-(SUM($AD213:AJ213)/SUM($AD211:$BG211)),IF(SUM($AD213:AJ213)&gt;=$AD211," ",M9-(SUM($AD213:AJ213)/(SUM($AD211:$BG211))))))</f>
        <v xml:space="preserve"> </v>
      </c>
      <c r="AK214" s="44" t="str">
        <f ca="1">IF(AK9&gt;WEEKNUM(TODAY())," ", IF(AND(AK10="x",SUM($AD213:AK213)&gt;$AD211),N9-(SUM($AD213:AK213)/SUM($AD211:$BG211)),IF(SUM($AD213:AK213)&gt;=$AD211," ",N9-(SUM($AD213:AK213)/(SUM($AD211:$BG211))))))</f>
        <v xml:space="preserve"> </v>
      </c>
      <c r="AL214" s="44" t="str">
        <f ca="1">IF(AL9&gt;WEEKNUM(TODAY())," ", IF(AND(AL10="x",SUM($AD213:AL213)&gt;$AD211),O9-(SUM($AD213:AL213)/SUM($AD211:$BG211)),IF(SUM($AD213:AL213)&gt;=$AD211," ",O9-(SUM($AD213:AL213)/(SUM($AD211:$BG211))))))</f>
        <v xml:space="preserve"> </v>
      </c>
      <c r="AM214" s="44" t="str">
        <f ca="1">IF(AM9&gt;WEEKNUM(TODAY())," ", IF(AND(AM10="x",SUM($AD213:AM213)&gt;$AD211),P9-(SUM($AD213:AM213)/SUM($AD211:$BG211)),IF(SUM($AD213:AM213)&gt;=$AD211," ",P9-(SUM($AD213:AM213)/(SUM($AD211:$BG211))))))</f>
        <v xml:space="preserve"> </v>
      </c>
      <c r="AN214" s="44" t="str">
        <f ca="1">IF(AN9&gt;WEEKNUM(TODAY())," ", IF(AND(AN10="x",SUM($AD213:AN213)&gt;$AD211),Q9-(SUM($AD213:AN213)/SUM($AD211:$BG211)),IF(SUM($AD213:AN213)&gt;=$AD211," ",Q9-(SUM($AD213:AN213)/(SUM($AD211:$BG211))))))</f>
        <v xml:space="preserve"> </v>
      </c>
      <c r="AO214" s="44" t="str">
        <f ca="1">IF(AO9&gt;WEEKNUM(TODAY())," ", IF(AND(AO10="x",SUM($AD213:AO213)&gt;$AD211),R9-(SUM($AD213:AO213)/SUM($AD211:$BG211)),IF(SUM($AD213:AO213)&gt;=$AD211," ",R9-(SUM($AD213:AO213)/(SUM($AD211:$BG211))))))</f>
        <v xml:space="preserve"> </v>
      </c>
      <c r="AP214" s="44" t="str">
        <f ca="1">IF(AP9&gt;WEEKNUM(TODAY())," ", IF(AND(AP10="x",SUM($AD213:AP213)&gt;$AD211),S9-(SUM($AD213:AP213)/SUM($AD211:$BG211)),IF(SUM($AD213:AP213)&gt;=$AD211," ",S9-(SUM($AD213:AP213)/(SUM($AD211:$BG211))))))</f>
        <v xml:space="preserve"> </v>
      </c>
      <c r="AQ214" s="44" t="str">
        <f ca="1">IF(AQ9&gt;WEEKNUM(TODAY())," ", IF(AND(AQ10="x",SUM($AD213:AQ213)&gt;$AD211),T9-(SUM($AD213:AQ213)/SUM($AD211:$BG211)),IF(SUM($AD213:AQ213)&gt;=$AD211," ",T9-(SUM($AD213:AQ213)/(SUM($AD211:$BG211))))))</f>
        <v xml:space="preserve"> </v>
      </c>
      <c r="AR214" s="44" t="str">
        <f ca="1">IF(AR9&gt;WEEKNUM(TODAY())," ", IF(AND(AR10="x",SUM($AD213:AR213)&gt;$AD211),U9-(SUM($AD213:AR213)/SUM($AD211:$BG211)),IF(SUM($AD213:AR213)&gt;=$AD211," ",U9-(SUM($AD213:AR213)/(SUM($AD211:$BG211))))))</f>
        <v xml:space="preserve"> </v>
      </c>
      <c r="AS214" s="44" t="str">
        <f ca="1">IF(AS9&gt;WEEKNUM(TODAY())," ", IF(AND(AS10="x",SUM($AD213:AS213)&gt;$AD211),V9-(SUM($AD213:AS213)/SUM($AD211:$BG211)),IF(SUM($AD213:AS213)&gt;=$AD211," ",V9-(SUM($AD213:AS213)/(SUM($AD211:$BG211))))))</f>
        <v xml:space="preserve"> </v>
      </c>
      <c r="AT214" s="44" t="str">
        <f ca="1">IF(AT9&gt;WEEKNUM(TODAY())," ", IF(AND(AT10="x",SUM($AD213:AT213)&gt;$AD211),W9-(SUM($AD213:AT213)/SUM($AD211:$BG211)),IF(SUM($AD213:AT213)&gt;=$AD211," ",W9-(SUM($AD213:AT213)/(SUM($AD211:$BG211))))))</f>
        <v xml:space="preserve"> </v>
      </c>
      <c r="AU214" s="44" t="str">
        <f ca="1">IF(AU9&gt;WEEKNUM(TODAY())," ", IF(AND(AU10="x",SUM($AD213:AU213)&gt;$AD211),X9-(SUM($AD213:AU213)/SUM($AD211:$BG211)),IF(SUM($AD213:AU213)&gt;=$AD211," ",X9-(SUM($AD213:AU213)/(SUM($AD211:$BG211))))))</f>
        <v xml:space="preserve"> </v>
      </c>
      <c r="AV214" s="44" t="str">
        <f ca="1">IF(AV9&gt;WEEKNUM(TODAY())," ", IF(AND(AV10="x",SUM($AD213:AV213)&gt;$AD211),Y9-(SUM($AD213:AV213)/SUM($AD211:$BG211)),IF(SUM($AD213:AV213)&gt;=$AD211," ",Y9-(SUM($AD213:AV213)/(SUM($AD211:$BG211))))))</f>
        <v xml:space="preserve"> </v>
      </c>
      <c r="AW214" s="44" t="str">
        <f ca="1">IF(AW9&gt;WEEKNUM(TODAY())," ", IF(AND(AW10="x",SUM($AD213:AW213)&gt;$AD211),Z9-(SUM($AD213:AW213)/SUM($AD211:$BG211)),IF(SUM($AD213:AW213)&gt;=$AD211," ",Z9-(SUM($AD213:AW213)/(SUM($AD211:$BG211))))))</f>
        <v xml:space="preserve"> </v>
      </c>
      <c r="AX214" s="44" t="str">
        <f ca="1">IF(AX9&gt;WEEKNUM(TODAY())," ", IF(AND(AX10="x",SUM($AD213:AX213)&gt;$AD211),AA9-(SUM($AD213:AX213)/SUM($AD211:$BG211)),IF(SUM($AD213:AX213)&gt;=$AD211," ",AA9-(SUM($AD213:AX213)/(SUM($AD211:$BG211))))))</f>
        <v xml:space="preserve"> </v>
      </c>
      <c r="AY214" s="44" t="str">
        <f ca="1">IF(AY9&gt;WEEKNUM(TODAY())," ", IF(AND(AY10="x",SUM($AD213:AY213)&gt;$AD211),AB9-(SUM($AD213:AY213)/SUM($AD211:$BG211)),IF(SUM($AD213:AY213)&gt;=$AD211," ",AB9-(SUM($AD213:AY213)/(SUM($AD211:$BG211))))))</f>
        <v xml:space="preserve"> </v>
      </c>
      <c r="AZ214" s="44" t="str">
        <f ca="1">IF(AZ9&gt;WEEKNUM(TODAY())," ", IF(AND(AZ10="x",SUM($AD213:AZ213)&gt;$AD211),AC9-(SUM($AD213:AZ213)/SUM($AD211:$BG211)),IF(SUM($AD213:AZ213)&gt;=$AD211," ",AC9-(SUM($AD213:AZ213)/(SUM($AD211:$BG211))))))</f>
        <v xml:space="preserve"> </v>
      </c>
      <c r="BA214" s="44" t="str">
        <f ca="1">IF(BA9&gt;WEEKNUM(TODAY())," ", IF(AND(BA10="x",SUM($AD213:BA213)&gt;$AD211),AD9-(SUM($AD213:BA213)/SUM($AD211:$BG211)),IF(SUM($AD213:BA213)&gt;=$AD211," ",AD9-(SUM($AD213:BA213)/(SUM($AD211:$BG211))))))</f>
        <v xml:space="preserve"> </v>
      </c>
      <c r="BB214" s="44" t="str">
        <f ca="1">IF(BB9&gt;WEEKNUM(TODAY())," ", IF(AND(BB10="x",SUM($AD213:BB213)&gt;$AD211),AE9-(SUM($AD213:BB213)/SUM($AD211:$BG211)),IF(SUM($AD213:BB213)&gt;=$AD211," ",AE9-(SUM($AD213:BB213)/(SUM($AD211:$BG211))))))</f>
        <v xml:space="preserve"> </v>
      </c>
      <c r="BC214" s="44" t="str">
        <f ca="1">IF(BC9&gt;WEEKNUM(TODAY())," ", IF(AND(BC10="x",SUM($AD213:BC213)&gt;$AD211),AF9-(SUM($AD213:BC213)/SUM($AD211:$BG211)),IF(SUM($AD213:BC213)&gt;=$AD211," ",AF9-(SUM($AD213:BC213)/(SUM($AD211:$BG211))))))</f>
        <v xml:space="preserve"> </v>
      </c>
      <c r="BD214" s="44" t="str">
        <f ca="1">IF(BD9&gt;WEEKNUM(TODAY())," ", IF(AND(BD10="x",SUM($AD213:BD213)&gt;$AD211),AG9-(SUM($AD213:BD213)/SUM($AD211:$BG211)),IF(SUM($AD213:BD213)&gt;=$AD211," ",AG9-(SUM($AD213:BD213)/(SUM($AD211:$BG211))))))</f>
        <v xml:space="preserve"> </v>
      </c>
      <c r="BE214" s="44" t="str">
        <f ca="1">IF(BE9&gt;WEEKNUM(TODAY())," ", IF(AND(BE10="x",SUM($AD213:BE213)&gt;$AD211),AH9-(SUM($AD213:BE213)/SUM($AD211:$BG211)),IF(SUM($AD213:BE213)&gt;=$AD211," ",AH9-(SUM($AD213:BE213)/(SUM($AD211:$BG211))))))</f>
        <v xml:space="preserve"> </v>
      </c>
      <c r="BF214" s="44" t="str">
        <f ca="1">IF(BF9&gt;WEEKNUM(TODAY())," ", IF(AND(BF10="x",SUM($AD213:BF213)&gt;$AD211),AI9-(SUM($AD213:BF213)/SUM($AD211:$BG211)),IF(SUM($AD213:BF213)&gt;=$AD211," ",AI9-(SUM($AD213:BF213)/(SUM($AD211:$BG211))))))</f>
        <v xml:space="preserve"> </v>
      </c>
      <c r="BG214" s="44" t="str">
        <f ca="1">IF(BG9&gt;WEEKNUM(TODAY())," ", IF(AND(BG10="x",SUM($AD213:BG213)&gt;$AD211),AJ9-(SUM($AD213:BG213)/SUM($AD211:$BG211)),IF(SUM($AD213:BG213)&gt;=$AD211," ",AJ9-(SUM($AD213:BG213)/(SUM($AD211:$BG211))))))</f>
        <v xml:space="preserve"> </v>
      </c>
      <c r="BH214" s="21"/>
    </row>
    <row r="215" spans="2:60" ht="16.2" thickBot="1" x14ac:dyDescent="0.35">
      <c r="B215" s="70"/>
      <c r="C215" s="79"/>
      <c r="D215" s="84"/>
      <c r="E215" s="57"/>
      <c r="F215" s="117"/>
      <c r="H215" s="49" t="str">
        <f>IF(H211= " ", " ",IF(H213&gt;SUM($H211:$BG211), " N/A", IF(SUM($H213:$BG213)=SUM($H211:BG211), " ", IF(H213=SUM($H211:BG211), " ", "x"))))</f>
        <v>x</v>
      </c>
      <c r="I215" s="50" t="str">
        <f>IF(SUM($H213:I213) &gt; SUM($H211:I211),  " N/A", IF(SUM($H213:$BG213) = SUM($H211:$BH211),    " ",IF(I213 = SUM($H211:$BH211),  " ",   "x")))</f>
        <v>x</v>
      </c>
      <c r="J215" s="50" t="str">
        <f>IF(SUM($H213:J213) &gt; SUM($H211:J211),  " N/A", IF(SUM($H213:$BG213) = SUM($H211:$BH211),    " ",IF(J213 = SUM($H211:$BH211),  " ",   "x")))</f>
        <v>x</v>
      </c>
      <c r="K215" s="50" t="str">
        <f>IF(SUM($H213:K213) &gt; SUM($H211:K211),  " N/A", IF(SUM($H213:$BG213) = SUM($H211:$BH211),    " ",IF(K213 = SUM($H211:$BH211),  " ",   "x")))</f>
        <v>x</v>
      </c>
      <c r="L215" s="50" t="str">
        <f>IF(SUM($H213:L213) &gt; SUM($H211:L211),  " N/A", IF(SUM($H213:$BG213) = SUM($H171:$BH171),    " ",IF(L213 = SUM($H171:$BH171),  " ",   "x")))</f>
        <v>x</v>
      </c>
      <c r="M215" s="50" t="str">
        <f>IF(SUM($H213:M213) &gt; SUM($H211:M211),  " N/A", IF(SUM($H213:$BG213) = SUM($H171:$BH171),    " ",IF(M213 = SUM($H171:$BH171),  " ",   "x")))</f>
        <v>x</v>
      </c>
      <c r="N215" s="50" t="str">
        <f>IF(SUM($H213:N213) &gt; SUM($H211:N211),  " N/A", IF(SUM($H213:$BG213) = SUM($H171:$BH171),    " ",IF(N213 = SUM($H171:$BH171),  " ",   "x")))</f>
        <v>x</v>
      </c>
      <c r="O215" s="50" t="str">
        <f>IF(SUM($H213:O213) &gt; SUM($H211:O211),  " N/A", IF(SUM($H213:$BG213) = SUM($H171:$BH171),    " ",IF(O213 = SUM($H171:$BH171),  " ",   "x")))</f>
        <v>x</v>
      </c>
      <c r="P215" s="50" t="str">
        <f>IF(SUM($H213:P213) &gt; SUM($H211:P211),  " N/A", IF(SUM($H213:$BG213) = SUM($H171:$BH171),    " ",IF(P213 = SUM($H171:$BH171),  " ",   "x")))</f>
        <v>x</v>
      </c>
      <c r="Q215" s="50" t="str">
        <f>IF(SUM($H213:Q213) &gt; SUM($H211:Q211),  " N/A", IF(SUM($H213:$BG213) = SUM($H171:$BH171),    " ",IF(Q213 = SUM($H171:$BH171),  " ",   "x")))</f>
        <v>x</v>
      </c>
      <c r="R215" s="50" t="str">
        <f>IF(SUM($H213:R213) &gt; SUM($H211:R211),  " N/A", IF(SUM($H213:$BG213) = SUM($H171:$BH171),    " ",IF(R213 = SUM($H171:$BH171),  " ",   "x")))</f>
        <v>x</v>
      </c>
      <c r="S215" s="50" t="str">
        <f>IF(SUM($H213:S213) &gt; SUM($H211:S211),  " N/A", IF(SUM($H213:$BG213) = SUM($H171:$BH171),    " ",IF(S213 = SUM($H171:$BH171),  " ",   "x")))</f>
        <v>x</v>
      </c>
      <c r="T215" s="50" t="str">
        <f>IF(SUM($H213:T213) &gt; SUM($H211:T211),  " N/A", IF(SUM($H213:$BG213) = SUM($H171:$BH171),    " ",IF(T213 = SUM($H171:$BH171),  " ",   "x")))</f>
        <v>x</v>
      </c>
      <c r="U215" s="50" t="str">
        <f>IF(SUM($H213:U213) &gt; SUM($H211:U211),  " N/A", IF(SUM($H213:$BG213) = SUM($H171:$BH171),    " ",IF(U213 = SUM($H171:$BH171),  " ",   "x")))</f>
        <v>x</v>
      </c>
      <c r="V215" s="50" t="str">
        <f>IF(SUM($H213:V213) &gt; SUM($H211:V211),  " N/A", IF(SUM($H213:$BG213) = SUM($H171:$BH171),    " ",IF(V213 = SUM($H171:$BH171),  " ",   "x")))</f>
        <v>x</v>
      </c>
      <c r="W215" s="50" t="str">
        <f>IF(SUM($H213:W213) &gt; SUM($H211:W211),  " N/A", IF(SUM($H213:$BG213) = SUM($H171:$BH171),    " ",IF(W213 = SUM($H171:$BH171),  " ",   "x")))</f>
        <v>x</v>
      </c>
      <c r="X215" s="50" t="str">
        <f>IF(SUM($H213:X213) &gt; SUM($H211:X211),  " N/A", IF(SUM($H213:$BG213) = SUM($H171:$BH171),    " ",IF(X213 = SUM($H171:$BH171),  " ",   "x")))</f>
        <v>x</v>
      </c>
      <c r="Y215" s="50" t="str">
        <f>IF(SUM($H213:Y213) &gt; SUM($H211:Y211),  " N/A", IF(SUM($H213:$BG213) = SUM($H171:$BH171),    " ",IF(Y213 = SUM($H171:$BH171),  " ",   "x")))</f>
        <v>x</v>
      </c>
      <c r="Z215" s="50" t="str">
        <f>IF(SUM($H213:Z213) &gt; SUM($H211:Z211),  " N/A", IF(SUM($H213:$BG213) = SUM($H171:$BH171),    " ",IF(Z213 = SUM($H171:$BH171),  " ",   "x")))</f>
        <v>x</v>
      </c>
      <c r="AA215" s="50" t="str">
        <f>IF(SUM($H213:AA213) &gt; SUM($H211:AA211),  " N/A", IF(SUM($H213:$BG213) = SUM($H171:$BH171),    " ",IF(AA213 = SUM($H171:$BH171),  " ",   "x")))</f>
        <v>x</v>
      </c>
      <c r="AB215" s="50" t="str">
        <f>IF(SUM($H213:AB213) &gt; SUM($H211:AB211),  " N/A", IF(SUM($H213:$BG213) = SUM($H171:$BH171),    " ",IF(AB213 = SUM($H171:$BH171),  " ",   "x")))</f>
        <v>x</v>
      </c>
      <c r="AC215" s="50" t="str">
        <f>IF(SUM($H213:AC213) &gt; SUM($H211:AC211),  " N/A", IF(SUM($H213:$BG213) = SUM($H171:$BH171),    " ",IF(AC213 = SUM($H171:$BH171),  " ",   "x")))</f>
        <v>x</v>
      </c>
      <c r="AD215" s="50" t="str">
        <f>IF(SUM($H213:AD213) &gt; SUM($H211:AD211),  " N/A", IF(SUM($H213:$BG213) = SUM($H171:$BH171),    " ",IF(AD213 = SUM($H171:$BH171),  " ",   "x")))</f>
        <v>x</v>
      </c>
      <c r="AE215" s="50" t="str">
        <f>IF(SUM($H213:AE213) &gt; SUM($H211:AE211),  " N/A", IF(SUM($H213:$BG213) = SUM($H171:$BH171),    " ",IF(AE213 = SUM($H171:$BH171),  " ",   "x")))</f>
        <v>x</v>
      </c>
      <c r="AF215" s="50" t="str">
        <f>IF(SUM($H213:AF213) &gt; SUM($H211:AF211),  " N/A", IF(SUM($H213:$BG213) = SUM($H171:$BH171),    " ",IF(AF213 = SUM($H171:$BH171),  " ",   "x")))</f>
        <v>x</v>
      </c>
      <c r="AG215" s="50" t="str">
        <f>IF(SUM($H213:AG213) &gt; SUM($H211:AG211),  " N/A", IF(SUM($H213:$BG213) = SUM($H171:$BH171),    " ",IF(AG213 = SUM($H171:$BH171),  " ",   "x")))</f>
        <v>x</v>
      </c>
      <c r="AH215" s="50" t="str">
        <f>IF(SUM($H213:AH213) &gt; SUM($H211:AH211),  " N/A", IF(SUM($H213:$BG213) = SUM($H171:$BH171),    " ",IF(AH213 = SUM($H171:$BH171),  " ",   "x")))</f>
        <v>x</v>
      </c>
      <c r="AI215" s="50" t="str">
        <f>IF(SUM($H213:AI213) &gt; SUM($H211:AI211),  " N/A", IF(SUM($H213:$BG213) = SUM($H171:$BH171),    " ",IF(AI213 = SUM($H171:$BH171),  " ",   "x")))</f>
        <v>x</v>
      </c>
      <c r="AJ215" s="50" t="str">
        <f>IF(SUM($H213:AJ213) &gt; SUM($H211:AJ211),  " N/A", IF(SUM($H213:$BG213) = SUM($H171:$BH171),    " ",IF(AJ213 = SUM($H171:$BH171),  " ",   "x")))</f>
        <v>x</v>
      </c>
      <c r="AK215" s="50" t="str">
        <f>IF(SUM($H213:AK213) &gt; SUM($H211:AK211),  " N/A", IF(SUM($H213:$BG213) = SUM($H171:$BH171),    " ",IF(AK213 = SUM($H171:$BH171),  " ",   "x")))</f>
        <v>x</v>
      </c>
      <c r="AL215" s="50" t="str">
        <f>IF(SUM($H213:AL213) &gt; SUM($H211:AL211),  " N/A", IF(SUM($H213:$BG213) = SUM($H171:$BH171),    " ",IF(AL213 = SUM($H171:$BH171),  " ",   "x")))</f>
        <v>x</v>
      </c>
      <c r="AM215" s="50" t="str">
        <f>IF(SUM($H213:AM213) &gt; SUM($H211:AM211),  " N/A", IF(SUM($H213:$BG213) = SUM($H171:$BH171),    " ",IF(AM213 = SUM($H171:$BH171),  " ",   "x")))</f>
        <v>x</v>
      </c>
      <c r="AN215" s="50" t="str">
        <f>IF(SUM($H213:AN213) &gt; SUM($H211:AN211),  " N/A", IF(SUM($H213:$BG213) = SUM($H171:$BH171),    " ",IF(AN213 = SUM($H171:$BH171),  " ",   "x")))</f>
        <v>x</v>
      </c>
      <c r="AO215" s="50" t="str">
        <f>IF(SUM($H213:AO213) &gt; SUM($H211:AO211),  " N/A", IF(SUM($H213:$BG213) = SUM($H171:$BH171),    " ",IF(AO213 = SUM($H171:$BH171),  " ",   "x")))</f>
        <v>x</v>
      </c>
      <c r="AP215" s="50" t="str">
        <f>IF(SUM($H213:AP213) &gt; SUM($H211:AP211),  " N/A", IF(SUM($H213:$BG213) = SUM($H171:$BH171),    " ",IF(AP213 = SUM($H171:$BH171),  " ",   "x")))</f>
        <v>x</v>
      </c>
      <c r="AQ215" s="50" t="str">
        <f>IF(SUM($H213:AQ213) &gt; SUM($H211:AQ211),  " N/A", IF(SUM($H213:$BG213) = SUM($H171:$BH171),    " ",IF(AQ213 = SUM($H171:$BH171),  " ",   "x")))</f>
        <v>x</v>
      </c>
      <c r="AR215" s="50" t="str">
        <f>IF(SUM($H213:AR213) &gt; SUM($H211:AR211),  " N/A", IF(SUM($H213:$BG213) = SUM($H171:$BH171),    " ",IF(AR213 = SUM($H171:$BH171),  " ",   "x")))</f>
        <v>x</v>
      </c>
      <c r="AS215" s="50" t="str">
        <f>IF(SUM($H213:AS213) &gt; SUM($H211:AS211),  " N/A", IF(SUM($H213:$BG213) = SUM($H171:$BH171),    " ",IF(AS213 = SUM($H171:$BH171),  " ",   "x")))</f>
        <v>x</v>
      </c>
      <c r="AT215" s="50" t="str">
        <f>IF(SUM($H213:AT213) &gt; SUM($H211:AT211),  " N/A", IF(SUM($H213:$BG213) = SUM($H171:$BH171),    " ",IF(AT213 = SUM($H171:$BH171),  " ",   "x")))</f>
        <v>x</v>
      </c>
      <c r="AU215" s="50" t="str">
        <f>IF(SUM($H213:AU213) &gt; SUM($H211:AU211),  " N/A", IF(SUM($H213:$BG213) = SUM($H171:$BH171),    " ",IF(AU213 = SUM($H171:$BH171),  " ",   "x")))</f>
        <v>x</v>
      </c>
      <c r="AV215" s="50" t="str">
        <f>IF(SUM($H213:AV213) &gt; SUM($H211:AV211),  " N/A", IF(SUM($H213:$BG213) = SUM($H171:$BH171),    " ",IF(AV213 = SUM($H171:$BH171),  " ",   "x")))</f>
        <v>x</v>
      </c>
      <c r="AW215" s="50" t="str">
        <f>IF(SUM($H213:AW213) &gt; SUM($H211:AW211),  " N/A", IF(SUM($H213:$BG213) = SUM($H171:$BH171),    " ",IF(AW213 = SUM($H171:$BH171),  " ",   "x")))</f>
        <v>x</v>
      </c>
      <c r="AX215" s="50" t="str">
        <f>IF(SUM($H213:AX213) &gt; SUM($H211:AX211),  " N/A", IF(SUM($H213:$BG213) = SUM($H171:$BH171),    " ",IF(AX213 = SUM($H171:$BH171),  " ",   "x")))</f>
        <v>x</v>
      </c>
      <c r="AY215" s="50" t="str">
        <f>IF(SUM($H213:AY213) &gt; SUM($H211:AY211),  " N/A", IF(SUM($H213:$BG213) = SUM($H171:$BH171),    " ",IF(AY213 = SUM($H171:$BH171),  " ",   "x")))</f>
        <v>x</v>
      </c>
      <c r="AZ215" s="50" t="str">
        <f>IF(SUM($H213:AZ213) &gt; SUM($H211:AZ211),  " N/A", IF(SUM($H213:$BG213) = SUM($H171:$BH171),    " ",IF(AZ213 = SUM($H171:$BH171),  " ",   "x")))</f>
        <v>x</v>
      </c>
      <c r="BA215" s="50" t="str">
        <f>IF(SUM($H213:BA213) &gt; SUM($H211:BA211),  " N/A", IF(SUM($H213:$BG213) = SUM($H171:$BH171),    " ",IF(BA213 = SUM($H171:$BH171),  " ",   "x")))</f>
        <v>x</v>
      </c>
      <c r="BB215" s="50" t="str">
        <f>IF(SUM($H213:BB213) &gt; SUM($H211:BB211),  " N/A", IF(SUM($H213:$BG213) = SUM($H171:$BH171),    " ",IF(BB213 = SUM($H171:$BH171),  " ",   "x")))</f>
        <v>x</v>
      </c>
      <c r="BC215" s="50" t="str">
        <f>IF(SUM($H213:BC213) &gt; SUM($H211:BC211),  " N/A", IF(SUM($H213:$BG213) = SUM($H171:$BH171),    " ",IF(BC213 = SUM($H171:$BH171),  " ",   "x")))</f>
        <v>x</v>
      </c>
      <c r="BD215" s="50" t="str">
        <f>IF(SUM($H213:BD213) &gt; SUM($H211:BD211),  " N/A", IF(SUM($H213:$BG213) = SUM($H171:$BH171),    " ",IF(BD213 = SUM($H171:$BH171),  " ",   "x")))</f>
        <v>x</v>
      </c>
      <c r="BE215" s="50" t="str">
        <f>IF(SUM($H213:BE213) &gt; SUM($H211:BE211),  " N/A", IF(SUM($H213:$BG213) = SUM($H171:$BH171),    " ",IF(BE213 = SUM($H171:$BH171),  " ",   "x")))</f>
        <v>x</v>
      </c>
      <c r="BF215" s="50" t="str">
        <f>IF(SUM($H213:BF213) &gt; SUM($H211:BF211),  " N/A", IF(SUM($H213:$BG213) = SUM($H171:$BH171),    " ",IF(BF213 = SUM($H171:$BH171),  " ",   "x")))</f>
        <v>x</v>
      </c>
      <c r="BG215" s="50" t="str">
        <f>IF(SUM($H213:BG213) &gt; SUM($H211:BG211),  " N/A", IF(SUM($H213:$BG213) = SUM($H171:$BH171),    " ",IF(BG213 = SUM($H171:$BH171),  " ",   "x")))</f>
        <v>x</v>
      </c>
      <c r="BH215" s="21"/>
    </row>
    <row r="216" spans="2:60" ht="15.6" x14ac:dyDescent="0.3">
      <c r="B216" s="71"/>
      <c r="C216" s="77"/>
      <c r="D216" s="82" t="s">
        <v>249</v>
      </c>
      <c r="E216" s="54">
        <f>SUM(H216:BG216)</f>
        <v>16</v>
      </c>
      <c r="F216" s="115">
        <f>Gant_24!$E216-E218</f>
        <v>16</v>
      </c>
      <c r="H216" s="41"/>
      <c r="I216" s="42"/>
      <c r="J216" s="42"/>
      <c r="K216" s="42"/>
      <c r="L216" s="51"/>
      <c r="M216" s="51"/>
      <c r="N216" s="51"/>
      <c r="O216" s="51"/>
      <c r="P216" s="51"/>
      <c r="Q216" s="51"/>
      <c r="R216" s="51"/>
      <c r="S216" s="51"/>
      <c r="T216" s="51"/>
      <c r="U216" s="51"/>
      <c r="V216" s="51"/>
      <c r="W216" s="51"/>
      <c r="X216" s="51"/>
      <c r="Y216" s="51"/>
      <c r="Z216" s="51"/>
      <c r="AA216" s="51"/>
      <c r="AB216" s="51"/>
      <c r="AC216" s="51"/>
      <c r="AD216" s="51">
        <v>16</v>
      </c>
      <c r="AE216" s="51"/>
      <c r="AF216" s="51"/>
      <c r="AG216" s="51"/>
      <c r="AH216" s="51"/>
      <c r="AI216" s="51"/>
      <c r="AJ216" s="51"/>
      <c r="AK216" s="51"/>
      <c r="AL216" s="51"/>
      <c r="AM216" s="51"/>
      <c r="AN216" s="51"/>
      <c r="AO216" s="51"/>
      <c r="AP216" s="51"/>
      <c r="AQ216" s="51"/>
      <c r="AR216" s="51"/>
      <c r="AS216" s="51"/>
      <c r="AT216" s="51"/>
      <c r="AU216" s="51"/>
      <c r="AV216" s="51"/>
      <c r="AW216" s="51"/>
      <c r="AX216" s="51"/>
      <c r="AY216" s="51"/>
      <c r="AZ216" s="51"/>
      <c r="BA216" s="51"/>
      <c r="BB216" s="51"/>
      <c r="BC216" s="51"/>
      <c r="BD216" s="51"/>
      <c r="BE216" s="51"/>
      <c r="BF216" s="51"/>
      <c r="BG216" s="51"/>
      <c r="BH216" s="21"/>
    </row>
    <row r="217" spans="2:60" ht="15.6" x14ac:dyDescent="0.3">
      <c r="B217" s="68"/>
      <c r="C217" s="78"/>
      <c r="D217" s="83" t="s">
        <v>261</v>
      </c>
      <c r="E217" s="55">
        <f>SUM(H217:BG217)</f>
        <v>0</v>
      </c>
      <c r="F217" s="116"/>
      <c r="H217" s="43"/>
      <c r="I217" s="44"/>
      <c r="J217" s="44"/>
      <c r="K217" s="44"/>
      <c r="L217" s="50"/>
      <c r="M217" s="50"/>
      <c r="N217" s="50"/>
      <c r="O217" s="50"/>
      <c r="P217" s="50"/>
      <c r="Q217" s="50"/>
      <c r="R217" s="50"/>
      <c r="S217" s="50"/>
      <c r="T217" s="50"/>
      <c r="U217" s="50"/>
      <c r="V217" s="50"/>
      <c r="W217" s="50"/>
      <c r="X217" s="50"/>
      <c r="Y217" s="50"/>
      <c r="Z217" s="50"/>
      <c r="AA217" s="50"/>
      <c r="AB217" s="50"/>
      <c r="AC217" s="50"/>
      <c r="AD217" s="50"/>
      <c r="AE217" s="50"/>
      <c r="AF217" s="50"/>
      <c r="AG217" s="50"/>
      <c r="AH217" s="50"/>
      <c r="AI217" s="50"/>
      <c r="AJ217" s="50"/>
      <c r="AK217" s="50"/>
      <c r="AL217" s="50"/>
      <c r="AM217" s="50"/>
      <c r="AN217" s="50"/>
      <c r="AO217" s="50"/>
      <c r="AP217" s="50"/>
      <c r="AQ217" s="50"/>
      <c r="AR217" s="50"/>
      <c r="AS217" s="50"/>
      <c r="AT217" s="50"/>
      <c r="AU217" s="50"/>
      <c r="AV217" s="50"/>
      <c r="AW217" s="50"/>
      <c r="AX217" s="50"/>
      <c r="AY217" s="50"/>
      <c r="AZ217" s="50"/>
      <c r="BA217" s="50"/>
      <c r="BB217" s="50"/>
      <c r="BC217" s="50"/>
      <c r="BD217" s="50"/>
      <c r="BE217" s="50"/>
      <c r="BF217" s="50"/>
      <c r="BG217" s="50"/>
      <c r="BH217" s="21"/>
    </row>
    <row r="218" spans="2:60" ht="15.6" x14ac:dyDescent="0.3">
      <c r="B218" s="68" t="s">
        <v>181</v>
      </c>
      <c r="C218" s="78" t="s">
        <v>182</v>
      </c>
      <c r="D218" s="83" t="s">
        <v>241</v>
      </c>
      <c r="E218" s="55">
        <f>SUM(H218:BG218)</f>
        <v>0</v>
      </c>
      <c r="F218" s="116"/>
      <c r="H218" s="45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  <c r="AG218" s="46"/>
      <c r="AH218" s="46"/>
      <c r="AI218" s="46"/>
      <c r="AJ218" s="46"/>
      <c r="AK218" s="46"/>
      <c r="AL218" s="46"/>
      <c r="AM218" s="46"/>
      <c r="AN218" s="46"/>
      <c r="AO218" s="46"/>
      <c r="AP218" s="46"/>
      <c r="AQ218" s="46"/>
      <c r="AR218" s="46"/>
      <c r="AS218" s="46"/>
      <c r="AT218" s="46"/>
      <c r="AU218" s="46"/>
      <c r="AV218" s="46"/>
      <c r="AW218" s="46"/>
      <c r="AX218" s="46"/>
      <c r="AY218" s="46"/>
      <c r="AZ218" s="46"/>
      <c r="BA218" s="46"/>
      <c r="BB218" s="46"/>
      <c r="BC218" s="46"/>
      <c r="BD218" s="46"/>
      <c r="BE218" s="46"/>
      <c r="BF218" s="46"/>
      <c r="BG218" s="46"/>
      <c r="BH218" s="21"/>
    </row>
    <row r="219" spans="2:60" ht="15.6" x14ac:dyDescent="0.3">
      <c r="B219" s="68"/>
      <c r="C219" s="78"/>
      <c r="D219" s="83" t="s">
        <v>278</v>
      </c>
      <c r="E219" s="56">
        <f ca="1">MAX(H219:BG219)</f>
        <v>0</v>
      </c>
      <c r="F219" s="116"/>
      <c r="H219" s="47"/>
      <c r="I219" s="48"/>
      <c r="J219" s="48"/>
      <c r="K219" s="48"/>
      <c r="L219" s="50"/>
      <c r="M219" s="50"/>
      <c r="N219" s="50"/>
      <c r="O219" s="50"/>
      <c r="P219" s="50"/>
      <c r="Q219" s="50"/>
      <c r="R219" s="50"/>
      <c r="S219" s="50"/>
      <c r="T219" s="50"/>
      <c r="U219" s="50"/>
      <c r="V219" s="50"/>
      <c r="W219" s="50"/>
      <c r="X219" s="50"/>
      <c r="Y219" s="50"/>
      <c r="Z219" s="50"/>
      <c r="AA219" s="44"/>
      <c r="AB219" s="44"/>
      <c r="AC219" s="44"/>
      <c r="AD219" s="44" t="str">
        <f>IF(SUM(H216:BG216) = AD218, " 0 ", " ")</f>
        <v xml:space="preserve"> </v>
      </c>
      <c r="AE219" s="44" t="str">
        <f ca="1">IF(AE9&gt;WEEKNUM(TODAY())," ", IF(AND(AE10="x",SUM($AD218:AE218)&gt;$AD216),H9-(SUM($AD218:AE218)/SUM($AD216:$BG216)),IF(SUM($AD218:AE218)&gt;=$AD216," ",H9-(SUM($AD218:AE218)/(SUM($AD216:$BG216))))))</f>
        <v xml:space="preserve"> </v>
      </c>
      <c r="AF219" s="44" t="str">
        <f ca="1">IF(AF9&gt;WEEKNUM(TODAY())," ", IF(AND(AF10="x",SUM($AD218:AF218)&gt;$AD216),I9-(SUM($AD218:AF218)/SUM($AD216:$BG216)),IF(SUM($AD218:AF218)&gt;=$AD216," ",I9-(SUM($AD218:AF218)/(SUM($AD216:$BG216))))))</f>
        <v xml:space="preserve"> </v>
      </c>
      <c r="AG219" s="44" t="str">
        <f ca="1">IF(AG9&gt;WEEKNUM(TODAY())," ", IF(AND(AG10="x",SUM($AD218:AG218)&gt;$AD216),J9-(SUM($AD218:AG218)/SUM($AD216:$BG216)),IF(SUM($AD218:AG218)&gt;=$AD216," ",J9-(SUM($AD218:AG218)/(SUM($AD216:$BG216))))))</f>
        <v xml:space="preserve"> </v>
      </c>
      <c r="AH219" s="44" t="str">
        <f ca="1">IF(AH9&gt;WEEKNUM(TODAY())," ", IF(AND(AH10="x",SUM($AD218:AH218)&gt;$AD216),K9-(SUM($AD218:AH218)/SUM($AD216:$BG216)),IF(SUM($AD218:AH218)&gt;=$AD216," ",K9-(SUM($AD218:AH218)/(SUM($AD216:$BG216))))))</f>
        <v xml:space="preserve"> </v>
      </c>
      <c r="AI219" s="44" t="str">
        <f ca="1">IF(AI9&gt;WEEKNUM(TODAY())," ", IF(AND(AI10="x",SUM($AD218:AI218)&gt;$AD216),L9-(SUM($AD218:AI218)/SUM($AD216:$BG216)),IF(SUM($AD218:AI218)&gt;=$AD216," ",L9-(SUM($AD218:AI218)/(SUM($AD216:$BG216))))))</f>
        <v xml:space="preserve"> </v>
      </c>
      <c r="AJ219" s="44" t="str">
        <f ca="1">IF(AJ9&gt;WEEKNUM(TODAY())," ", IF(AND(AJ10="x",SUM($AD218:AJ218)&gt;$AD216),M9-(SUM($AD218:AJ218)/SUM($AD216:$BG216)),IF(SUM($AD218:AJ218)&gt;=$AD216," ",M9-(SUM($AD218:AJ218)/(SUM($AD216:$BG216))))))</f>
        <v xml:space="preserve"> </v>
      </c>
      <c r="AK219" s="44" t="str">
        <f ca="1">IF(AK9&gt;WEEKNUM(TODAY())," ", IF(AND(AK10="x",SUM($AD218:AK218)&gt;$AD216),N9-(SUM($AD218:AK218)/SUM($AD216:$BG216)),IF(SUM($AD218:AK218)&gt;=$AD216," ",N9-(SUM($AD218:AK218)/(SUM($AD216:$BG216))))))</f>
        <v xml:space="preserve"> </v>
      </c>
      <c r="AL219" s="44" t="str">
        <f ca="1">IF(AL9&gt;WEEKNUM(TODAY())," ", IF(AND(AL10="x",SUM($AD218:AL218)&gt;$AD216),O9-(SUM($AD218:AL218)/SUM($AD216:$BG216)),IF(SUM($AD218:AL218)&gt;=$AD216," ",O9-(SUM($AD218:AL218)/(SUM($AD216:$BG216))))))</f>
        <v xml:space="preserve"> </v>
      </c>
      <c r="AM219" s="44" t="str">
        <f ca="1">IF(AM9&gt;WEEKNUM(TODAY())," ", IF(AND(AM10="x",SUM($AD218:AM218)&gt;$AD216),P9-(SUM($AD218:AM218)/SUM($AD216:$BG216)),IF(SUM($AD218:AM218)&gt;=$AD216," ",P9-(SUM($AD218:AM218)/(SUM($AD216:$BG216))))))</f>
        <v xml:space="preserve"> </v>
      </c>
      <c r="AN219" s="44" t="str">
        <f ca="1">IF(AN9&gt;WEEKNUM(TODAY())," ", IF(AND(AN10="x",SUM($AD218:AN218)&gt;$AD216),Q9-(SUM($AD218:AN218)/SUM($AD216:$BG216)),IF(SUM($AD218:AN218)&gt;=$AD216," ",Q9-(SUM($AD218:AN218)/(SUM($AD216:$BG216))))))</f>
        <v xml:space="preserve"> </v>
      </c>
      <c r="AO219" s="44" t="str">
        <f ca="1">IF(AO9&gt;WEEKNUM(TODAY())," ", IF(AND(AO10="x",SUM($AD218:AO218)&gt;$AD216),R9-(SUM($AD218:AO218)/SUM($AD216:$BG216)),IF(SUM($AD218:AO218)&gt;=$AD216," ",R9-(SUM($AD218:AO218)/(SUM($AD216:$BG216))))))</f>
        <v xml:space="preserve"> </v>
      </c>
      <c r="AP219" s="44" t="str">
        <f ca="1">IF(AP9&gt;WEEKNUM(TODAY())," ", IF(AND(AP10="x",SUM($AD218:AP218)&gt;$AD216),S9-(SUM($AD218:AP218)/SUM($AD216:$BG216)),IF(SUM($AD218:AP218)&gt;=$AD216," ",S9-(SUM($AD218:AP218)/(SUM($AD216:$BG216))))))</f>
        <v xml:space="preserve"> </v>
      </c>
      <c r="AQ219" s="44" t="str">
        <f ca="1">IF(AQ9&gt;WEEKNUM(TODAY())," ", IF(AND(AQ10="x",SUM($AD218:AQ218)&gt;$AD216),T9-(SUM($AD218:AQ218)/SUM($AD216:$BG216)),IF(SUM($AD218:AQ218)&gt;=$AD216," ",T9-(SUM($AD218:AQ218)/(SUM($AD216:$BG216))))))</f>
        <v xml:space="preserve"> </v>
      </c>
      <c r="AR219" s="44" t="str">
        <f ca="1">IF(AR9&gt;WEEKNUM(TODAY())," ", IF(AND(AR10="x",SUM($AD218:AR218)&gt;$AD216),U9-(SUM($AD218:AR218)/SUM($AD216:$BG216)),IF(SUM($AD218:AR218)&gt;=$AD216," ",U9-(SUM($AD218:AR218)/(SUM($AD216:$BG216))))))</f>
        <v xml:space="preserve"> </v>
      </c>
      <c r="AS219" s="44" t="str">
        <f ca="1">IF(AS9&gt;WEEKNUM(TODAY())," ", IF(AND(AS10="x",SUM($AD218:AS218)&gt;$AD216),V9-(SUM($AD218:AS218)/SUM($AD216:$BG216)),IF(SUM($AD218:AS218)&gt;=$AD216," ",V9-(SUM($AD218:AS218)/(SUM($AD216:$BG216))))))</f>
        <v xml:space="preserve"> </v>
      </c>
      <c r="AT219" s="44" t="str">
        <f ca="1">IF(AT9&gt;WEEKNUM(TODAY())," ", IF(AND(AT10="x",SUM($AD218:AT218)&gt;$AD216),W9-(SUM($AD218:AT218)/SUM($AD216:$BG216)),IF(SUM($AD218:AT218)&gt;=$AD216," ",W9-(SUM($AD218:AT218)/(SUM($AD216:$BG216))))))</f>
        <v xml:space="preserve"> </v>
      </c>
      <c r="AU219" s="44" t="str">
        <f ca="1">IF(AU9&gt;WEEKNUM(TODAY())," ", IF(AND(AU10="x",SUM($AD218:AU218)&gt;$AD216),X9-(SUM($AD218:AU218)/SUM($AD216:$BG216)),IF(SUM($AD218:AU218)&gt;=$AD216," ",X9-(SUM($AD218:AU218)/(SUM($AD216:$BG216))))))</f>
        <v xml:space="preserve"> </v>
      </c>
      <c r="AV219" s="44" t="str">
        <f ca="1">IF(AV9&gt;WEEKNUM(TODAY())," ", IF(AND(AV10="x",SUM($AD218:AV218)&gt;$AD216),Y9-(SUM($AD218:AV218)/SUM($AD216:$BG216)),IF(SUM($AD218:AV218)&gt;=$AD216," ",Y9-(SUM($AD218:AV218)/(SUM($AD216:$BG216))))))</f>
        <v xml:space="preserve"> </v>
      </c>
      <c r="AW219" s="44" t="str">
        <f ca="1">IF(AW9&gt;WEEKNUM(TODAY())," ", IF(AND(AW10="x",SUM($AD218:AW218)&gt;$AD216),Z9-(SUM($AD218:AW218)/SUM($AD216:$BG216)),IF(SUM($AD218:AW218)&gt;=$AD216," ",Z9-(SUM($AD218:AW218)/(SUM($AD216:$BG216))))))</f>
        <v xml:space="preserve"> </v>
      </c>
      <c r="AX219" s="44" t="str">
        <f ca="1">IF(AX9&gt;WEEKNUM(TODAY())," ", IF(AND(AX10="x",SUM($AD218:AX218)&gt;$AD216),AA9-(SUM($AD218:AX218)/SUM($AD216:$BG216)),IF(SUM($AD218:AX218)&gt;=$AD216," ",AA9-(SUM($AD218:AX218)/(SUM($AD216:$BG216))))))</f>
        <v xml:space="preserve"> </v>
      </c>
      <c r="AY219" s="44" t="str">
        <f ca="1">IF(AY9&gt;WEEKNUM(TODAY())," ", IF(AND(AY10="x",SUM($AD218:AY218)&gt;$AD216),AB9-(SUM($AD218:AY218)/SUM($AD216:$BG216)),IF(SUM($AD218:AY218)&gt;=$AD216," ",AB9-(SUM($AD218:AY218)/(SUM($AD216:$BG216))))))</f>
        <v xml:space="preserve"> </v>
      </c>
      <c r="AZ219" s="44" t="str">
        <f ca="1">IF(AZ9&gt;WEEKNUM(TODAY())," ", IF(AND(AZ10="x",SUM($AD218:AZ218)&gt;$AD216),AC9-(SUM($AD218:AZ218)/SUM($AD216:$BG216)),IF(SUM($AD218:AZ218)&gt;=$AD216," ",AC9-(SUM($AD218:AZ218)/(SUM($AD216:$BG216))))))</f>
        <v xml:space="preserve"> </v>
      </c>
      <c r="BA219" s="44" t="str">
        <f ca="1">IF(BA9&gt;WEEKNUM(TODAY())," ", IF(AND(BA10="x",SUM($AD218:BA218)&gt;$AD216),AD9-(SUM($AD218:BA218)/SUM($AD216:$BG216)),IF(SUM($AD218:BA218)&gt;=$AD216," ",AD9-(SUM($AD218:BA218)/(SUM($AD216:$BG216))))))</f>
        <v xml:space="preserve"> </v>
      </c>
      <c r="BB219" s="44" t="str">
        <f ca="1">IF(BB9&gt;WEEKNUM(TODAY())," ", IF(AND(BB10="x",SUM($AD218:BB218)&gt;$AD216),AE9-(SUM($AD218:BB218)/SUM($AD216:$BG216)),IF(SUM($AD218:BB218)&gt;=$AD216," ",AE9-(SUM($AD218:BB218)/(SUM($AD216:$BG216))))))</f>
        <v xml:space="preserve"> </v>
      </c>
      <c r="BC219" s="44" t="str">
        <f ca="1">IF(BC9&gt;WEEKNUM(TODAY())," ", IF(AND(BC10="x",SUM($AD218:BC218)&gt;$AD216),AF9-(SUM($AD218:BC218)/SUM($AD216:$BG216)),IF(SUM($AD218:BC218)&gt;=$AD216," ",AF9-(SUM($AD218:BC218)/(SUM($AD216:$BG216))))))</f>
        <v xml:space="preserve"> </v>
      </c>
      <c r="BD219" s="44" t="str">
        <f ca="1">IF(BD9&gt;WEEKNUM(TODAY())," ", IF(AND(BD10="x",SUM($AD218:BD218)&gt;$AD216),AG9-(SUM($AD218:BD218)/SUM($AD216:$BG216)),IF(SUM($AD218:BD218)&gt;=$AD216," ",AG9-(SUM($AD218:BD218)/(SUM($AD216:$BG216))))))</f>
        <v xml:space="preserve"> </v>
      </c>
      <c r="BE219" s="44" t="str">
        <f ca="1">IF(BE9&gt;WEEKNUM(TODAY())," ", IF(AND(BE10="x",SUM($AD218:BE218)&gt;$AD216),AH9-(SUM($AD218:BE218)/SUM($AD216:$BG216)),IF(SUM($AD218:BE218)&gt;=$AD216," ",AH9-(SUM($AD218:BE218)/(SUM($AD216:$BG216))))))</f>
        <v xml:space="preserve"> </v>
      </c>
      <c r="BF219" s="44" t="str">
        <f ca="1">IF(BF9&gt;WEEKNUM(TODAY())," ", IF(AND(BF10="x",SUM($AD218:BF218)&gt;$AD216),AI9-(SUM($AD218:BF218)/SUM($AD216:$BG216)),IF(SUM($AD218:BF218)&gt;=$AD216," ",AI9-(SUM($AD218:BF218)/(SUM($AD216:$BG216))))))</f>
        <v xml:space="preserve"> </v>
      </c>
      <c r="BG219" s="44" t="str">
        <f ca="1">IF(BG9&gt;WEEKNUM(TODAY())," ", IF(AND(BG10="x",SUM($AD218:BG218)&gt;$AD216),AJ9-(SUM($AD218:BG218)/SUM($AD216:$BG216)),IF(SUM($AD218:BG218)&gt;=$AD216," ",AJ9-(SUM($AD218:BG218)/(SUM($AD216:$BG216))))))</f>
        <v xml:space="preserve"> </v>
      </c>
      <c r="BH219" s="21"/>
    </row>
    <row r="220" spans="2:60" ht="16.2" thickBot="1" x14ac:dyDescent="0.35">
      <c r="B220" s="70"/>
      <c r="C220" s="79"/>
      <c r="D220" s="84"/>
      <c r="E220" s="57"/>
      <c r="F220" s="117"/>
      <c r="H220" s="49" t="str">
        <f>IF(H216= " ", " ",IF(H218&gt;SUM($H216:$BG216), " N/A", IF(SUM($H218:$BG218)=SUM($H216:BG216), " ", IF(H218=SUM($H216:BG216), " ", "x"))))</f>
        <v>x</v>
      </c>
      <c r="I220" s="50" t="str">
        <f>IF(SUM($H218:I218) &gt; SUM($H216:I216),  " N/A", IF(SUM($H218:$BG218) = SUM($H216:$BH216),    " ",IF(I218 = SUM($H216:$BH216),  " ",   "x")))</f>
        <v>x</v>
      </c>
      <c r="J220" s="50" t="str">
        <f>IF(SUM($H218:J218) &gt; SUM($H216:J216),  " N/A", IF(SUM($H218:$BG218) = SUM($H216:$BH216),    " ",IF(J218 = SUM($H216:$BH216),  " ",   "x")))</f>
        <v>x</v>
      </c>
      <c r="K220" s="50" t="str">
        <f>IF(SUM($H218:K218) &gt; SUM($H216:K216),  " N/A", IF(SUM($H218:$BG218) = SUM($H216:$BH216),    " ",IF(K218 = SUM($H216:$BH216),  " ",   "x")))</f>
        <v>x</v>
      </c>
      <c r="L220" s="50" t="str">
        <f>IF(SUM($H218:L218) &gt; SUM($H216:L216),  " N/A", IF(SUM($H218:$BG218) = SUM($H216:$BH216),    " ",IF(L218 = SUM($H216:$BH216),  " ",   "x")))</f>
        <v>x</v>
      </c>
      <c r="M220" s="50" t="str">
        <f>IF(SUM($H218:M218) &gt; SUM($H216:M216),  " N/A", IF(SUM($H218:$BG218) = SUM($H216:$BH216),    " ",IF(M218 = SUM($H216:$BH216),  " ",   "x")))</f>
        <v>x</v>
      </c>
      <c r="N220" s="50" t="str">
        <f>IF(SUM($H218:N218) &gt; SUM($H216:N216),  " N/A", IF(SUM($H218:$BG218) = SUM($H216:$BH216),    " ",IF(N218 = SUM($H216:$BH216),  " ",   "x")))</f>
        <v>x</v>
      </c>
      <c r="O220" s="50" t="str">
        <f>IF(SUM($H218:O218) &gt; SUM($H216:O216),  " N/A", IF(SUM($H218:$BG218) = SUM($H216:$BH216),    " ",IF(O218 = SUM($H216:$BH216),  " ",   "x")))</f>
        <v>x</v>
      </c>
      <c r="P220" s="50" t="str">
        <f>IF(SUM($H218:P218) &gt; SUM($H216:P216),  " N/A", IF(SUM($H218:$BG218) = SUM($H216:$BH216),    " ",IF(P218 = SUM($H216:$BH216),  " ",   "x")))</f>
        <v>x</v>
      </c>
      <c r="Q220" s="50" t="str">
        <f>IF(SUM($H218:Q218) &gt; SUM($H216:Q216),  " N/A", IF(SUM($H218:$BG218) = SUM($H216:$BH216),    " ",IF(Q218 = SUM($H216:$BH216),  " ",   "x")))</f>
        <v>x</v>
      </c>
      <c r="R220" s="50" t="str">
        <f>IF(SUM($H218:R218) &gt; SUM($H216:R216),  " N/A", IF(SUM($H218:$BG218) = SUM($H216:$BH216),    " ",IF(R218 = SUM($H216:$BH216),  " ",   "x")))</f>
        <v>x</v>
      </c>
      <c r="S220" s="50" t="str">
        <f>IF(SUM($H218:S218) &gt; SUM($H216:S216),  " N/A", IF(SUM($H218:$BG218) = SUM($H216:$BH216),    " ",IF(S218 = SUM($H216:$BH216),  " ",   "x")))</f>
        <v>x</v>
      </c>
      <c r="T220" s="50" t="str">
        <f>IF(SUM($H218:T218) &gt; SUM($H216:T216),  " N/A", IF(SUM($H218:$BG218) = SUM($H216:$BH216),    " ",IF(T218 = SUM($H216:$BH216),  " ",   "x")))</f>
        <v>x</v>
      </c>
      <c r="U220" s="50" t="str">
        <f>IF(SUM($H218:U218) &gt; SUM($H216:U216),  " N/A", IF(SUM($H218:$BG218) = SUM($H216:$BH216),    " ",IF(U218 = SUM($H216:$BH216),  " ",   "x")))</f>
        <v>x</v>
      </c>
      <c r="V220" s="50" t="str">
        <f>IF(SUM($H218:V218) &gt; SUM($H216:V216),  " N/A", IF(SUM($H218:$BG218) = SUM($H216:$BH216),    " ",IF(V218 = SUM($H216:$BH216),  " ",   "x")))</f>
        <v>x</v>
      </c>
      <c r="W220" s="50" t="str">
        <f>IF(SUM($H218:W218) &gt; SUM($H216:W216),  " N/A", IF(SUM($H218:$BG218) = SUM($H216:$BH216),    " ",IF(W218 = SUM($H216:$BH216),  " ",   "x")))</f>
        <v>x</v>
      </c>
      <c r="X220" s="50" t="str">
        <f>IF(SUM($H218:X218) &gt; SUM($H216:X216),  " N/A", IF(SUM($H218:$BG218) = SUM($H216:$BH216),    " ",IF(X218 = SUM($H216:$BH216),  " ",   "x")))</f>
        <v>x</v>
      </c>
      <c r="Y220" s="50" t="str">
        <f>IF(SUM($H218:Y218) &gt; SUM($H216:Y216),  " N/A", IF(SUM($H218:$BG218) = SUM($H216:$BH216),    " ",IF(Y218 = SUM($H216:$BH216),  " ",   "x")))</f>
        <v>x</v>
      </c>
      <c r="Z220" s="50" t="str">
        <f>IF(SUM($H218:Z218) &gt; SUM($H216:Z216),  " N/A", IF(SUM($H218:$BG218) = SUM($H216:$BH216),    " ",IF(Z218 = SUM($H216:$BH216),  " ",   "x")))</f>
        <v>x</v>
      </c>
      <c r="AA220" s="50" t="str">
        <f>IF(SUM($H218:AA218) &gt; SUM($H216:AA216),  " N/A", IF(SUM($H218:$BG218) = SUM($H216:$BH216),    " ",IF(AA218 = SUM($H216:$BH216),  " ",   "x")))</f>
        <v>x</v>
      </c>
      <c r="AB220" s="50" t="str">
        <f>IF(SUM($H218:AB218) &gt; SUM($H216:AB216),  " N/A", IF(SUM($H218:$BG218) = SUM($H216:$BH216),    " ",IF(AB218 = SUM($H216:$BH216),  " ",   "x")))</f>
        <v>x</v>
      </c>
      <c r="AC220" s="50" t="str">
        <f>IF(SUM($H218:AC218) &gt; SUM($H216:AC216),  " N/A", IF(SUM($H218:$BG218) = SUM($H216:$BH216),    " ",IF(AC218 = SUM($H216:$BH216),  " ",   "x")))</f>
        <v>x</v>
      </c>
      <c r="AD220" s="50" t="str">
        <f>IF(SUM($H218:AD218) &gt; SUM($H216:AD216),  " N/A", IF(SUM($H218:$BG218) = SUM($H216:$BH216),    " ",IF(AD218 = SUM($H216:$BH216),  " ",   "x")))</f>
        <v>x</v>
      </c>
      <c r="AE220" s="50" t="str">
        <f>IF(SUM($H218:AE218) &gt; SUM($H216:AE216),  " N/A", IF(SUM($H218:$BG218) = SUM($H216:$BH216),    " ",IF(AE218 = SUM($H216:$BH216),  " ",   "x")))</f>
        <v>x</v>
      </c>
      <c r="AF220" s="50" t="str">
        <f>IF(SUM($H218:AF218) &gt; SUM($H216:AF216),  " N/A", IF(SUM($H218:$BG218) = SUM($H216:$BH216),    " ",IF(AF218 = SUM($H216:$BH216),  " ",   "x")))</f>
        <v>x</v>
      </c>
      <c r="AG220" s="50" t="str">
        <f>IF(SUM($H218:AG218) &gt; SUM($H216:AG216),  " N/A", IF(SUM($H218:$BG218) = SUM($H216:$BH216),    " ",IF(AG218 = SUM($H216:$BH216),  " ",   "x")))</f>
        <v>x</v>
      </c>
      <c r="AH220" s="50" t="str">
        <f>IF(SUM($H218:AH218) &gt; SUM($H216:AH216),  " N/A", IF(SUM($H218:$BG218) = SUM($H216:$BH216),    " ",IF(AH218 = SUM($H216:$BH216),  " ",   "x")))</f>
        <v>x</v>
      </c>
      <c r="AI220" s="50" t="str">
        <f>IF(SUM($H218:AI218) &gt; SUM($H216:AI216),  " N/A", IF(SUM($H218:$BG218) = SUM($H216:$BH216),    " ",IF(AI218 = SUM($H216:$BH216),  " ",   "x")))</f>
        <v>x</v>
      </c>
      <c r="AJ220" s="50" t="str">
        <f>IF(SUM($H218:AJ218) &gt; SUM($H216:AJ216),  " N/A", IF(SUM($H218:$BG218) = SUM($H216:$BH216),    " ",IF(AJ218 = SUM($H216:$BH216),  " ",   "x")))</f>
        <v>x</v>
      </c>
      <c r="AK220" s="50" t="str">
        <f>IF(SUM($H218:AK218) &gt; SUM($H216:AK216),  " N/A", IF(SUM($H218:$BG218) = SUM($H216:$BH216),    " ",IF(AK218 = SUM($H216:$BH216),  " ",   "x")))</f>
        <v>x</v>
      </c>
      <c r="AL220" s="50" t="str">
        <f>IF(SUM($H218:AL218) &gt; SUM($H216:AL216),  " N/A", IF(SUM($H218:$BG218) = SUM($H216:$BH216),    " ",IF(AL218 = SUM($H216:$BH216),  " ",   "x")))</f>
        <v>x</v>
      </c>
      <c r="AM220" s="50" t="str">
        <f>IF(SUM($H218:AM218) &gt; SUM($H216:AM216),  " N/A", IF(SUM($H218:$BG218) = SUM($H216:$BH216),    " ",IF(AM218 = SUM($H216:$BH216),  " ",   "x")))</f>
        <v>x</v>
      </c>
      <c r="AN220" s="50" t="str">
        <f>IF(SUM($H218:AN218) &gt; SUM($H216:AN216),  " N/A", IF(SUM($H218:$BG218) = SUM($H216:$BH216),    " ",IF(AN218 = SUM($H216:$BH216),  " ",   "x")))</f>
        <v>x</v>
      </c>
      <c r="AO220" s="50" t="str">
        <f>IF(SUM($H218:AO218) &gt; SUM($H216:AO216),  " N/A", IF(SUM($H218:$BG218) = SUM($H216:$BH216),    " ",IF(AO218 = SUM($H216:$BH216),  " ",   "x")))</f>
        <v>x</v>
      </c>
      <c r="AP220" s="50" t="str">
        <f>IF(SUM($H218:AP218) &gt; SUM($H216:AP216),  " N/A", IF(SUM($H218:$BG218) = SUM($H216:$BH216),    " ",IF(AP218 = SUM($H216:$BH216),  " ",   "x")))</f>
        <v>x</v>
      </c>
      <c r="AQ220" s="50" t="str">
        <f>IF(SUM($H218:AQ218) &gt; SUM($H216:AQ216),  " N/A", IF(SUM($H218:$BG218) = SUM($H216:$BH216),    " ",IF(AQ218 = SUM($H216:$BH216),  " ",   "x")))</f>
        <v>x</v>
      </c>
      <c r="AR220" s="50" t="str">
        <f>IF(SUM($H218:AR218) &gt; SUM($H216:AR216),  " N/A", IF(SUM($H218:$BG218) = SUM($H216:$BH216),    " ",IF(AR218 = SUM($H216:$BH216),  " ",   "x")))</f>
        <v>x</v>
      </c>
      <c r="AS220" s="50" t="str">
        <f>IF(SUM($H218:AS218) &gt; SUM($H216:AS216),  " N/A", IF(SUM($H218:$BG218) = SUM($H216:$BH216),    " ",IF(AS218 = SUM($H216:$BH216),  " ",   "x")))</f>
        <v>x</v>
      </c>
      <c r="AT220" s="50" t="str">
        <f>IF(SUM($H218:AT218) &gt; SUM($H216:AT216),  " N/A", IF(SUM($H218:$BG218) = SUM($H216:$BH216),    " ",IF(AT218 = SUM($H216:$BH216),  " ",   "x")))</f>
        <v>x</v>
      </c>
      <c r="AU220" s="50" t="str">
        <f>IF(SUM($H218:AU218) &gt; SUM($H216:AU216),  " N/A", IF(SUM($H218:$BG218) = SUM($H216:$BH216),    " ",IF(AU218 = SUM($H216:$BH216),  " ",   "x")))</f>
        <v>x</v>
      </c>
      <c r="AV220" s="50" t="str">
        <f>IF(SUM($H218:AV218) &gt; SUM($H216:AV216),  " N/A", IF(SUM($H218:$BG218) = SUM($H216:$BH216),    " ",IF(AV218 = SUM($H216:$BH216),  " ",   "x")))</f>
        <v>x</v>
      </c>
      <c r="AW220" s="50" t="str">
        <f>IF(SUM($H218:AW218) &gt; SUM($H216:AW216),  " N/A", IF(SUM($H218:$BG218) = SUM($H216:$BH216),    " ",IF(AW218 = SUM($H216:$BH216),  " ",   "x")))</f>
        <v>x</v>
      </c>
      <c r="AX220" s="50" t="str">
        <f>IF(SUM($H218:AX218) &gt; SUM($H216:AX216),  " N/A", IF(SUM($H218:$BG218) = SUM($H216:$BH216),    " ",IF(AX218 = SUM($H216:$BH216),  " ",   "x")))</f>
        <v>x</v>
      </c>
      <c r="AY220" s="50" t="str">
        <f>IF(SUM($H218:AY218) &gt; SUM($H216:AY216),  " N/A", IF(SUM($H218:$BG218) = SUM($H216:$BH216),    " ",IF(AY218 = SUM($H216:$BH216),  " ",   "x")))</f>
        <v>x</v>
      </c>
      <c r="AZ220" s="50" t="str">
        <f>IF(SUM($H218:AZ218) &gt; SUM($H216:AZ216),  " N/A", IF(SUM($H218:$BG218) = SUM($H216:$BH216),    " ",IF(AZ218 = SUM($H216:$BH216),  " ",   "x")))</f>
        <v>x</v>
      </c>
      <c r="BA220" s="50" t="str">
        <f>IF(SUM($H218:BA218) &gt; SUM($H216:BA216),  " N/A", IF(SUM($H218:$BG218) = SUM($H216:$BH216),    " ",IF(BA218 = SUM($H216:$BH216),  " ",   "x")))</f>
        <v>x</v>
      </c>
      <c r="BB220" s="50" t="str">
        <f>IF(SUM($H218:BB218) &gt; SUM($H216:BB216),  " N/A", IF(SUM($H218:$BG218) = SUM($H216:$BH216),    " ",IF(BB218 = SUM($H216:$BH216),  " ",   "x")))</f>
        <v>x</v>
      </c>
      <c r="BC220" s="50" t="str">
        <f>IF(SUM($H218:BC218) &gt; SUM($H216:BC216),  " N/A", IF(SUM($H218:$BG218) = SUM($H216:$BH216),    " ",IF(BC218 = SUM($H216:$BH216),  " ",   "x")))</f>
        <v>x</v>
      </c>
      <c r="BD220" s="50" t="str">
        <f>IF(SUM($H218:BD218) &gt; SUM($H216:BD216),  " N/A", IF(SUM($H218:$BG218) = SUM($H216:$BH216),    " ",IF(BD218 = SUM($H216:$BH216),  " ",   "x")))</f>
        <v>x</v>
      </c>
      <c r="BE220" s="50" t="str">
        <f>IF(SUM($H218:BE218) &gt; SUM($H216:BE216),  " N/A", IF(SUM($H218:$BG218) = SUM($H216:$BH216),    " ",IF(BE218 = SUM($H216:$BH216),  " ",   "x")))</f>
        <v>x</v>
      </c>
      <c r="BF220" s="50" t="str">
        <f>IF(SUM($H218:BF218) &gt; SUM($H216:BF216),  " N/A", IF(SUM($H218:$BG218) = SUM($H216:$BH216),    " ",IF(BF218 = SUM($H216:$BH216),  " ",   "x")))</f>
        <v>x</v>
      </c>
      <c r="BG220" s="50" t="str">
        <f>IF(SUM($H218:BG218) &gt; SUM($H216:BG216),  " N/A", IF(SUM($H218:$BG218) = SUM($H216:$BH216),    " ",IF(BG218 = SUM($H216:$BH216),  " ",   "x")))</f>
        <v>x</v>
      </c>
      <c r="BH220" s="21"/>
    </row>
    <row r="221" spans="2:60" ht="15.6" x14ac:dyDescent="0.3">
      <c r="B221" s="71"/>
      <c r="C221" s="77"/>
      <c r="D221" s="82" t="s">
        <v>249</v>
      </c>
      <c r="E221" s="54">
        <f>SUM(H221:BG221)</f>
        <v>16</v>
      </c>
      <c r="F221" s="115">
        <f>Gant_24!$E221-E223</f>
        <v>0</v>
      </c>
      <c r="H221" s="41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>
        <v>16</v>
      </c>
      <c r="AE221" s="51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42"/>
      <c r="BB221" s="42"/>
      <c r="BC221" s="42"/>
      <c r="BD221" s="42"/>
      <c r="BE221" s="42"/>
      <c r="BF221" s="42"/>
      <c r="BG221" s="42"/>
      <c r="BH221" s="21"/>
    </row>
    <row r="222" spans="2:60" ht="15.6" x14ac:dyDescent="0.3">
      <c r="B222" s="68"/>
      <c r="C222" s="78"/>
      <c r="D222" s="83" t="s">
        <v>261</v>
      </c>
      <c r="E222" s="55">
        <f>SUM(H222:BG222)</f>
        <v>0</v>
      </c>
      <c r="F222" s="116"/>
      <c r="H222" s="43"/>
      <c r="I222" s="44"/>
      <c r="J222" s="44"/>
      <c r="K222" s="44"/>
      <c r="L222" s="44"/>
      <c r="M222" s="44"/>
      <c r="N222" s="44"/>
      <c r="O222" s="44"/>
      <c r="P222" s="44"/>
      <c r="Q222" s="44"/>
      <c r="R222" s="44"/>
      <c r="S222" s="44"/>
      <c r="T222" s="44"/>
      <c r="U222" s="44"/>
      <c r="V222" s="44"/>
      <c r="W222" s="44"/>
      <c r="X222" s="44"/>
      <c r="Y222" s="44"/>
      <c r="Z222" s="44"/>
      <c r="AA222" s="44"/>
      <c r="AB222" s="44"/>
      <c r="AC222" s="44"/>
      <c r="AD222" s="44"/>
      <c r="AE222" s="50"/>
      <c r="AF222" s="44"/>
      <c r="AG222" s="44"/>
      <c r="AH222" s="44"/>
      <c r="AI222" s="44"/>
      <c r="AJ222" s="44"/>
      <c r="AK222" s="44"/>
      <c r="AL222" s="44"/>
      <c r="AM222" s="44"/>
      <c r="AN222" s="44"/>
      <c r="AO222" s="44"/>
      <c r="AP222" s="44"/>
      <c r="AQ222" s="44"/>
      <c r="AR222" s="44"/>
      <c r="AS222" s="44"/>
      <c r="AT222" s="44"/>
      <c r="AU222" s="44"/>
      <c r="AV222" s="44"/>
      <c r="AW222" s="44"/>
      <c r="AX222" s="44"/>
      <c r="AY222" s="44"/>
      <c r="AZ222" s="44"/>
      <c r="BA222" s="44"/>
      <c r="BB222" s="44"/>
      <c r="BC222" s="44"/>
      <c r="BD222" s="44"/>
      <c r="BE222" s="44"/>
      <c r="BF222" s="44"/>
      <c r="BG222" s="44"/>
      <c r="BH222" s="21"/>
    </row>
    <row r="223" spans="2:60" ht="15.6" x14ac:dyDescent="0.3">
      <c r="B223" s="68" t="s">
        <v>184</v>
      </c>
      <c r="C223" s="78" t="s">
        <v>185</v>
      </c>
      <c r="D223" s="83" t="s">
        <v>241</v>
      </c>
      <c r="E223" s="55">
        <f>SUM(H223:BG223)</f>
        <v>16</v>
      </c>
      <c r="F223" s="116"/>
      <c r="H223" s="45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  <c r="AG223" s="46"/>
      <c r="AH223" s="46"/>
      <c r="AI223" s="46"/>
      <c r="AJ223" s="46">
        <v>16</v>
      </c>
      <c r="AK223" s="46"/>
      <c r="AL223" s="46"/>
      <c r="AM223" s="46"/>
      <c r="AN223" s="46"/>
      <c r="AO223" s="46"/>
      <c r="AP223" s="46"/>
      <c r="AQ223" s="46"/>
      <c r="AR223" s="46"/>
      <c r="AS223" s="46"/>
      <c r="AT223" s="46"/>
      <c r="AU223" s="46"/>
      <c r="AV223" s="46"/>
      <c r="AW223" s="46"/>
      <c r="AX223" s="46"/>
      <c r="AY223" s="46"/>
      <c r="AZ223" s="46"/>
      <c r="BA223" s="46"/>
      <c r="BB223" s="46"/>
      <c r="BC223" s="46"/>
      <c r="BD223" s="46"/>
      <c r="BE223" s="46"/>
      <c r="BF223" s="46"/>
      <c r="BG223" s="46"/>
      <c r="BH223" s="21"/>
    </row>
    <row r="224" spans="2:60" ht="15.6" x14ac:dyDescent="0.3">
      <c r="B224" s="68"/>
      <c r="C224" s="78"/>
      <c r="D224" s="83" t="s">
        <v>278</v>
      </c>
      <c r="E224" s="56">
        <f ca="1">MAX(H224:BG224)</f>
        <v>0</v>
      </c>
      <c r="F224" s="116"/>
      <c r="H224" s="47"/>
      <c r="I224" s="48"/>
      <c r="J224" s="48"/>
      <c r="K224" s="48"/>
      <c r="L224" s="44"/>
      <c r="M224" s="44"/>
      <c r="N224" s="44"/>
      <c r="O224" s="44"/>
      <c r="P224" s="44"/>
      <c r="Q224" s="44"/>
      <c r="R224" s="44"/>
      <c r="S224" s="44"/>
      <c r="T224" s="44"/>
      <c r="U224" s="44"/>
      <c r="V224" s="44"/>
      <c r="W224" s="44"/>
      <c r="X224" s="44"/>
      <c r="Y224" s="44"/>
      <c r="Z224" s="44"/>
      <c r="AA224" s="44"/>
      <c r="AB224" s="44"/>
      <c r="AC224" s="44"/>
      <c r="AD224" s="44" t="str">
        <f>IF(SUM(H221:BG221) = AD223, " 0 ", " ")</f>
        <v xml:space="preserve"> </v>
      </c>
      <c r="AE224" s="44" t="str">
        <f ca="1">IF(AE9&gt;WEEKNUM(TODAY())," ", IF(AND(AE10="x",SUM($AD223:AE223)&gt;$AD221),H9-(SUM($AD223:AE223)/SUM($AD221:$BG221)),IF(SUM($AD223:AE223)&gt;=$AD221," ",H9-(SUM($AD223:AE223)/(SUM($AD221:$BG221))))))</f>
        <v xml:space="preserve"> </v>
      </c>
      <c r="AF224" s="44" t="str">
        <f ca="1">IF(AF9&gt;WEEKNUM(TODAY())," ", IF(AND(AF10="x",SUM($AD223:AF223)&gt;$AD221),I9-(SUM($AD223:AF223)/SUM($AD221:$BG221)),IF(SUM($AD223:AF223)&gt;=$AD221," ",I9-(SUM($AD223:AF223)/(SUM($AD221:$BG221))))))</f>
        <v xml:space="preserve"> </v>
      </c>
      <c r="AG224" s="44" t="str">
        <f ca="1">IF(AG9&gt;WEEKNUM(TODAY())," ", IF(AND(AG10="x",SUM($AD223:AG223)&gt;$AD221),J9-(SUM($AD223:AG223)/SUM($AD221:$BG221)),IF(SUM($AD223:AG223)&gt;=$AD221," ",J9-(SUM($AD223:AG223)/(SUM($AD221:$BG221))))))</f>
        <v xml:space="preserve"> </v>
      </c>
      <c r="AH224" s="44" t="str">
        <f ca="1">IF(AH9&gt;WEEKNUM(TODAY())," ", IF(AND(AH10="x",SUM($AD223:AH223)&gt;$AD221),K9-(SUM($AD223:AH223)/SUM($AD221:$BG221)),IF(SUM($AD223:AH223)&gt;=$AD221," ",K9-(SUM($AD223:AH223)/(SUM($AD221:$BG221))))))</f>
        <v xml:space="preserve"> </v>
      </c>
      <c r="AI224" s="44" t="str">
        <f ca="1">IF(AI9&gt;WEEKNUM(TODAY())," ", IF(AND(AI10="x",SUM($AD223:AI223)&gt;$AD221),L9-(SUM($AD223:AI223)/SUM($AD221:$BG221)),IF(SUM($AD223:AI223)&gt;=$AD221," ",L9-(SUM($AD223:AI223)/(SUM($AD221:$BG221))))))</f>
        <v xml:space="preserve"> </v>
      </c>
      <c r="AJ224" s="44" t="str">
        <f ca="1">IF(AJ9&gt;WEEKNUM(TODAY())," ", IF(AND(AJ10="x",SUM($AD223:AJ223)&gt;$AD221),M9-(SUM($AD223:AJ223)/SUM($AD221:$BG221)),IF(SUM($AD223:AJ223)&gt;=$AD221," ",M9-(SUM($AD223:AJ223)/(SUM($AD221:$BG221))))))</f>
        <v xml:space="preserve"> </v>
      </c>
      <c r="AK224" s="44" t="str">
        <f ca="1">IF(AK9&gt;WEEKNUM(TODAY())," ", IF(AND(AK10="x",SUM($AD223:AK223)&gt;$AD221),N9-(SUM($AD223:AK223)/SUM($AD221:$BG221)),IF(SUM($AD223:AK223)&gt;=$AD221," ",N9-(SUM($AD223:AK223)/(SUM($AD221:$BG221))))))</f>
        <v xml:space="preserve"> </v>
      </c>
      <c r="AL224" s="44" t="str">
        <f ca="1">IF(AL9&gt;WEEKNUM(TODAY())," ", IF(AND(AL10="x",SUM($AD223:AL223)&gt;$AD221),O9-(SUM($AD223:AL223)/SUM($AD221:$BG221)),IF(SUM($AD223:AL223)&gt;=$AD221," ",O9-(SUM($AD223:AL223)/(SUM($AD221:$BG221))))))</f>
        <v xml:space="preserve"> </v>
      </c>
      <c r="AM224" s="44" t="str">
        <f ca="1">IF(AM9&gt;WEEKNUM(TODAY())," ", IF(AND(AM10="x",SUM($AD223:AM223)&gt;$AD221),P9-(SUM($AD223:AM223)/SUM($AD221:$BG221)),IF(SUM($AD223:AM223)&gt;=$AD221," ",P9-(SUM($AD223:AM223)/(SUM($AD221:$BG221))))))</f>
        <v xml:space="preserve"> </v>
      </c>
      <c r="AN224" s="44" t="str">
        <f ca="1">IF(AN9&gt;WEEKNUM(TODAY())," ", IF(AND(AN10="x",SUM($AD223:AN223)&gt;$AD221),Q9-(SUM($AD223:AN223)/SUM($AD221:$BG221)),IF(SUM($AD223:AN223)&gt;=$AD221," ",Q9-(SUM($AD223:AN223)/(SUM($AD221:$BG221))))))</f>
        <v xml:space="preserve"> </v>
      </c>
      <c r="AO224" s="44" t="str">
        <f ca="1">IF(AO9&gt;WEEKNUM(TODAY())," ", IF(AND(AO10="x",SUM($AD223:AO223)&gt;$AD221),R9-(SUM($AD223:AO223)/SUM($AD221:$BG221)),IF(SUM($AD223:AO223)&gt;=$AD221," ",R9-(SUM($AD223:AO223)/(SUM($AD221:$BG221))))))</f>
        <v xml:space="preserve"> </v>
      </c>
      <c r="AP224" s="44" t="str">
        <f ca="1">IF(AP9&gt;WEEKNUM(TODAY())," ", IF(AND(AP10="x",SUM($AD223:AP223)&gt;$AD221),S9-(SUM($AD223:AP223)/SUM($AD221:$BG221)),IF(SUM($AD223:AP223)&gt;=$AD221," ",S9-(SUM($AD223:AP223)/(SUM($AD221:$BG221))))))</f>
        <v xml:space="preserve"> </v>
      </c>
      <c r="AQ224" s="44" t="str">
        <f ca="1">IF(AQ9&gt;WEEKNUM(TODAY())," ", IF(AND(AQ10="x",SUM($AD223:AQ223)&gt;$AD221),T9-(SUM($AD223:AQ223)/SUM($AD221:$BG221)),IF(SUM($AD223:AQ223)&gt;=$AD221," ",T9-(SUM($AD223:AQ223)/(SUM($AD221:$BG221))))))</f>
        <v xml:space="preserve"> </v>
      </c>
      <c r="AR224" s="44" t="str">
        <f ca="1">IF(AR9&gt;WEEKNUM(TODAY())," ", IF(AND(AR10="x",SUM($AD223:AR223)&gt;$AD221),U9-(SUM($AD223:AR223)/SUM($AD221:$BG221)),IF(SUM($AD223:AR223)&gt;=$AD221," ",U9-(SUM($AD223:AR223)/(SUM($AD221:$BG221))))))</f>
        <v xml:space="preserve"> </v>
      </c>
      <c r="AS224" s="44" t="str">
        <f ca="1">IF(AS9&gt;WEEKNUM(TODAY())," ", IF(AND(AS10="x",SUM($AD223:AS223)&gt;$AD221),V9-(SUM($AD223:AS223)/SUM($AD221:$BG221)),IF(SUM($AD223:AS223)&gt;=$AD221," ",V9-(SUM($AD223:AS223)/(SUM($AD221:$BG221))))))</f>
        <v xml:space="preserve"> </v>
      </c>
      <c r="AT224" s="44" t="str">
        <f ca="1">IF(AT9&gt;WEEKNUM(TODAY())," ", IF(AND(AT10="x",SUM($AD223:AT223)&gt;$AD221),W9-(SUM($AD223:AT223)/SUM($AD221:$BG221)),IF(SUM($AD223:AT223)&gt;=$AD221," ",W9-(SUM($AD223:AT223)/(SUM($AD221:$BG221))))))</f>
        <v xml:space="preserve"> </v>
      </c>
      <c r="AU224" s="44" t="str">
        <f ca="1">IF(AU9&gt;WEEKNUM(TODAY())," ", IF(AND(AU10="x",SUM($AD223:AU223)&gt;$AD221),X9-(SUM($AD223:AU223)/SUM($AD221:$BG221)),IF(SUM($AD223:AU223)&gt;=$AD221," ",X9-(SUM($AD223:AU223)/(SUM($AD221:$BG221))))))</f>
        <v xml:space="preserve"> </v>
      </c>
      <c r="AV224" s="44" t="str">
        <f ca="1">IF(AV9&gt;WEEKNUM(TODAY())," ", IF(AND(AV10="x",SUM($AD223:AV223)&gt;$AD221),Y9-(SUM($AD223:AV223)/SUM($AD221:$BG221)),IF(SUM($AD223:AV223)&gt;=$AD221," ",Y9-(SUM($AD223:AV223)/(SUM($AD221:$BG221))))))</f>
        <v xml:space="preserve"> </v>
      </c>
      <c r="AW224" s="44" t="str">
        <f ca="1">IF(AW9&gt;WEEKNUM(TODAY())," ", IF(AND(AW10="x",SUM($AD223:AW223)&gt;$AD221),Z9-(SUM($AD223:AW223)/SUM($AD221:$BG221)),IF(SUM($AD223:AW223)&gt;=$AD221," ",Z9-(SUM($AD223:AW223)/(SUM($AD221:$BG221))))))</f>
        <v xml:space="preserve"> </v>
      </c>
      <c r="AX224" s="44" t="str">
        <f ca="1">IF(AX9&gt;WEEKNUM(TODAY())," ", IF(AND(AX10="x",SUM($AD223:AX223)&gt;$AD221),AA9-(SUM($AD223:AX223)/SUM($AD221:$BG221)),IF(SUM($AD223:AX223)&gt;=$AD221," ",AA9-(SUM($AD223:AX223)/(SUM($AD221:$BG221))))))</f>
        <v xml:space="preserve"> </v>
      </c>
      <c r="AY224" s="44" t="str">
        <f ca="1">IF(AY9&gt;WEEKNUM(TODAY())," ", IF(AND(AY10="x",SUM($AD223:AY223)&gt;$AD221),AB9-(SUM($AD223:AY223)/SUM($AD221:$BG221)),IF(SUM($AD223:AY223)&gt;=$AD221," ",AB9-(SUM($AD223:AY223)/(SUM($AD221:$BG221))))))</f>
        <v xml:space="preserve"> </v>
      </c>
      <c r="AZ224" s="44" t="str">
        <f ca="1">IF(AZ9&gt;WEEKNUM(TODAY())," ", IF(AND(AZ10="x",SUM($AD223:AZ223)&gt;$AD221),AC9-(SUM($AD223:AZ223)/SUM($AD221:$BG221)),IF(SUM($AD223:AZ223)&gt;=$AD221," ",AC9-(SUM($AD223:AZ223)/(SUM($AD221:$BG221))))))</f>
        <v xml:space="preserve"> </v>
      </c>
      <c r="BA224" s="44" t="str">
        <f ca="1">IF(BA9&gt;WEEKNUM(TODAY())," ", IF(AND(BA10="x",SUM($AD223:BA223)&gt;$AD221),AD9-(SUM($AD223:BA223)/SUM($AD221:$BG221)),IF(SUM($AD223:BA223)&gt;=$AD221," ",AD9-(SUM($AD223:BA223)/(SUM($AD221:$BG221))))))</f>
        <v xml:space="preserve"> </v>
      </c>
      <c r="BB224" s="44" t="str">
        <f ca="1">IF(BB9&gt;WEEKNUM(TODAY())," ", IF(AND(BB10="x",SUM($AD223:BB223)&gt;$AD221),AE9-(SUM($AD223:BB223)/SUM($AD221:$BG221)),IF(SUM($AD223:BB223)&gt;=$AD221," ",AE9-(SUM($AD223:BB223)/(SUM($AD221:$BG221))))))</f>
        <v xml:space="preserve"> </v>
      </c>
      <c r="BC224" s="44" t="str">
        <f ca="1">IF(BC9&gt;WEEKNUM(TODAY())," ", IF(AND(BC10="x",SUM($AD223:BC223)&gt;$AD221),AF9-(SUM($AD223:BC223)/SUM($AD221:$BG221)),IF(SUM($AD223:BC223)&gt;=$AD221," ",AF9-(SUM($AD223:BC223)/(SUM($AD221:$BG221))))))</f>
        <v xml:space="preserve"> </v>
      </c>
      <c r="BD224" s="44" t="str">
        <f ca="1">IF(BD9&gt;WEEKNUM(TODAY())," ", IF(AND(BD10="x",SUM($AD223:BD223)&gt;$AD221),AG9-(SUM($AD223:BD223)/SUM($AD221:$BG221)),IF(SUM($AD223:BD223)&gt;=$AD221," ",AG9-(SUM($AD223:BD223)/(SUM($AD221:$BG221))))))</f>
        <v xml:space="preserve"> </v>
      </c>
      <c r="BE224" s="44" t="str">
        <f ca="1">IF(BE9&gt;WEEKNUM(TODAY())," ", IF(AND(BE10="x",SUM($AD223:BE223)&gt;$AD221),AH9-(SUM($AD223:BE223)/SUM($AD221:$BG221)),IF(SUM($AD223:BE223)&gt;=$AD221," ",AH9-(SUM($AD223:BE223)/(SUM($AD221:$BG221))))))</f>
        <v xml:space="preserve"> </v>
      </c>
      <c r="BF224" s="44" t="str">
        <f ca="1">IF(BF9&gt;WEEKNUM(TODAY())," ", IF(AND(BF10="x",SUM($AD223:BF223)&gt;$AD221),AI9-(SUM($AD223:BF223)/SUM($AD221:$BG221)),IF(SUM($AD223:BF223)&gt;=$AD221," ",AI9-(SUM($AD223:BF223)/(SUM($AD221:$BG221))))))</f>
        <v xml:space="preserve"> </v>
      </c>
      <c r="BG224" s="44" t="str">
        <f ca="1">IF(BG9&gt;WEEKNUM(TODAY())," ", IF(AND(BG10="x",SUM($AD223:BG223)&gt;$AD221),AJ9-(SUM($AD223:BG223)/SUM($AD221:$BG221)),IF(SUM($AD223:BG223)&gt;=$AD221," ",AJ9-(SUM($AD223:BG223)/(SUM($AD221:$BG221))))))</f>
        <v xml:space="preserve"> </v>
      </c>
      <c r="BH224" s="21"/>
    </row>
    <row r="225" spans="2:60" ht="16.2" thickBot="1" x14ac:dyDescent="0.35">
      <c r="B225" s="70"/>
      <c r="C225" s="79"/>
      <c r="D225" s="84"/>
      <c r="E225" s="57"/>
      <c r="F225" s="117"/>
      <c r="H225" s="49" t="str">
        <f>IF(H221= " ", " ",IF(H223&gt;SUM($H221:$BG221), " N/A", IF(SUM($H223:$BG223)=SUM($H221:BG221), " ", IF(H223=SUM($H221:BG221), " ", "x"))))</f>
        <v xml:space="preserve"> </v>
      </c>
      <c r="I225" s="50" t="str">
        <f>IF(SUM($H223:I223) &gt; SUM($H221:I221),  " N/A", IF(SUM($H223:$BG223) = SUM($H221:$BH221),    " ",IF(I223 = SUM($H221:$BH221),  " ",   "x")))</f>
        <v xml:space="preserve"> </v>
      </c>
      <c r="J225" s="50" t="str">
        <f>IF(SUM($H223:J223) &gt; SUM($H221:J221),  " N/A", IF(SUM($H223:$BG223) = SUM($H221:$BH221),    " ",IF(J223 = SUM($H221:$BH221),  " ",   "x")))</f>
        <v xml:space="preserve"> </v>
      </c>
      <c r="K225" s="50" t="str">
        <f>IF(SUM($H223:K223) &gt; SUM($H221:K221),  " N/A", IF(SUM($H223:$BG223) = SUM($H221:$BH221),    " ",IF(K223 = SUM($H221:$BH221),  " ",   "x")))</f>
        <v xml:space="preserve"> </v>
      </c>
      <c r="L225" s="50" t="str">
        <f ca="1">IF(SUM($H223:L223) &gt; SUM($H221:L221),  " N/A", IF(SUM($H223:$BG223) = SUM($H179:$BH179),    " ",IF(L223 = SUM($H179:$BH179),  " ",   "x")))</f>
        <v xml:space="preserve"> </v>
      </c>
      <c r="M225" s="50" t="str">
        <f ca="1">IF(SUM($H223:M223) &gt; SUM($H221:M221),  " N/A", IF(SUM($H223:$BG223) = SUM($H179:$BH179),    " ",IF(M223 = SUM($H179:$BH179),  " ",   "x")))</f>
        <v xml:space="preserve"> </v>
      </c>
      <c r="N225" s="50" t="str">
        <f ca="1">IF(SUM($H223:N223) &gt; SUM($H221:N221),  " N/A", IF(SUM($H223:$BG223) = SUM($H179:$BH179),    " ",IF(N223 = SUM($H179:$BH179),  " ",   "x")))</f>
        <v xml:space="preserve"> </v>
      </c>
      <c r="O225" s="50" t="str">
        <f ca="1">IF(SUM($H223:O223) &gt; SUM($H221:O221),  " N/A", IF(SUM($H223:$BG223) = SUM($H179:$BH179),    " ",IF(O223 = SUM($H179:$BH179),  " ",   "x")))</f>
        <v xml:space="preserve"> </v>
      </c>
      <c r="P225" s="50" t="str">
        <f ca="1">IF(SUM($H223:P223) &gt; SUM($H221:P221),  " N/A", IF(SUM($H223:$BG223) = SUM($H179:$BH179),    " ",IF(P223 = SUM($H179:$BH179),  " ",   "x")))</f>
        <v xml:space="preserve"> </v>
      </c>
      <c r="Q225" s="50" t="str">
        <f ca="1">IF(SUM($H223:Q223) &gt; SUM($H221:Q221),  " N/A", IF(SUM($H223:$BG223) = SUM($H179:$BH179),    " ",IF(Q223 = SUM($H179:$BH179),  " ",   "x")))</f>
        <v xml:space="preserve"> </v>
      </c>
      <c r="R225" s="50" t="str">
        <f ca="1">IF(SUM($H223:R223) &gt; SUM($H221:R221),  " N/A", IF(SUM($H223:$BG223) = SUM($H179:$BH179),    " ",IF(R223 = SUM($H179:$BH179),  " ",   "x")))</f>
        <v xml:space="preserve"> </v>
      </c>
      <c r="S225" s="50" t="str">
        <f ca="1">IF(SUM($H223:S223) &gt; SUM($H221:S221),  " N/A", IF(SUM($H223:$BG223) = SUM($H179:$BH179),    " ",IF(S223 = SUM($H179:$BH179),  " ",   "x")))</f>
        <v xml:space="preserve"> </v>
      </c>
      <c r="T225" s="50" t="str">
        <f ca="1">IF(SUM($H223:T223) &gt; SUM($H221:T221),  " N/A", IF(SUM($H223:$BG223) = SUM($H179:$BH179),    " ",IF(T223 = SUM($H179:$BH179),  " ",   "x")))</f>
        <v xml:space="preserve"> </v>
      </c>
      <c r="U225" s="50" t="str">
        <f ca="1">IF(SUM($H223:U223) &gt; SUM($H221:U221),  " N/A", IF(SUM($H223:$BG223) = SUM($H179:$BH179),    " ",IF(U223 = SUM($H179:$BH179),  " ",   "x")))</f>
        <v xml:space="preserve"> </v>
      </c>
      <c r="V225" s="50" t="str">
        <f ca="1">IF(SUM($H223:V223) &gt; SUM($H221:V221),  " N/A", IF(SUM($H223:$BG223) = SUM($H179:$BH179),    " ",IF(V223 = SUM($H179:$BH179),  " ",   "x")))</f>
        <v xml:space="preserve"> </v>
      </c>
      <c r="W225" s="50" t="str">
        <f ca="1">IF(SUM($H223:W223) &gt; SUM($H221:W221),  " N/A", IF(SUM($H223:$BG223) = SUM($H179:$BH179),    " ",IF(W223 = SUM($H179:$BH179),  " ",   "x")))</f>
        <v xml:space="preserve"> </v>
      </c>
      <c r="X225" s="50" t="str">
        <f ca="1">IF(SUM($H223:X223) &gt; SUM($H221:X221),  " N/A", IF(SUM($H223:$BG223) = SUM($H179:$BH179),    " ",IF(X223 = SUM($H179:$BH179),  " ",   "x")))</f>
        <v xml:space="preserve"> </v>
      </c>
      <c r="Y225" s="50" t="str">
        <f ca="1">IF(SUM($H223:Y223) &gt; SUM($H221:Y221),  " N/A", IF(SUM($H223:$BG223) = SUM($H179:$BH179),    " ",IF(Y223 = SUM($H179:$BH179),  " ",   "x")))</f>
        <v xml:space="preserve"> </v>
      </c>
      <c r="Z225" s="50" t="str">
        <f ca="1">IF(SUM($H223:Z223) &gt; SUM($H221:Z221),  " N/A", IF(SUM($H223:$BG223) = SUM($H179:$BH179),    " ",IF(Z223 = SUM($H179:$BH179),  " ",   "x")))</f>
        <v xml:space="preserve"> </v>
      </c>
      <c r="AA225" s="50" t="str">
        <f ca="1">IF(SUM($H223:AA223) &gt; SUM($H221:AA221),  " N/A", IF(SUM($H223:$BG223) = SUM($H179:$BH179),    " ",IF(AA223 = SUM($H179:$BH179),  " ",   "x")))</f>
        <v xml:space="preserve"> </v>
      </c>
      <c r="AB225" s="50" t="str">
        <f ca="1">IF(SUM($H223:AB223) &gt; SUM($H221:AB221),  " N/A", IF(SUM($H223:$BG223) = SUM($H179:$BH179),    " ",IF(AB223 = SUM($H179:$BH179),  " ",   "x")))</f>
        <v xml:space="preserve"> </v>
      </c>
      <c r="AC225" s="50" t="str">
        <f ca="1">IF(SUM($H223:AC223) &gt; SUM($H221:AC221),  " N/A", IF(SUM($H223:$BG223) = SUM($H179:$BH179),    " ",IF(AC223 = SUM($H179:$BH179),  " ",   "x")))</f>
        <v xml:space="preserve"> </v>
      </c>
      <c r="AD225" s="50" t="str">
        <f ca="1">IF(SUM($H223:AD223) &gt; SUM($H221:AD221),  " N/A", IF(SUM($H223:$BG223) = SUM($H179:$BH179),    " ",IF(AD223 = SUM($H179:$BH179),  " ",   "x")))</f>
        <v xml:space="preserve"> </v>
      </c>
      <c r="AE225" s="44" t="str">
        <f ca="1">IF(SUM($H223:AE223) &gt; SUM($H221:AE221),  " N/A", IF(SUM($H223:$BG223) = SUM($H194:$BH194),    " ",IF(AE223 = SUM($H194:$BH194),  " ",   "x")))</f>
        <v xml:space="preserve"> </v>
      </c>
      <c r="AF225" s="50" t="str">
        <f ca="1">IF(SUM($H223:AF223) &gt; SUM($H221:AF221),  " N/A", IF(SUM($H223:$BG223) = SUM($H179:$BH179),    " ",IF(AF223 = SUM($H179:$BH179),  " ",   "x")))</f>
        <v xml:space="preserve"> </v>
      </c>
      <c r="AG225" s="50" t="str">
        <f ca="1">IF(SUM($H223:AG223) &gt; SUM($H221:AG221),  " N/A", IF(SUM($H223:$BG223) = SUM($H179:$BH179),    " ",IF(AG223 = SUM($H179:$BH179),  " ",   "x")))</f>
        <v xml:space="preserve"> </v>
      </c>
      <c r="AH225" s="50" t="str">
        <f ca="1">IF(SUM($H223:AH223) &gt; SUM($H221:AH221),  " N/A", IF(SUM($H223:$BG223) = SUM($H179:$BH179),    " ",IF(AH223 = SUM($H179:$BH179),  " ",   "x")))</f>
        <v xml:space="preserve"> </v>
      </c>
      <c r="AI225" s="50" t="str">
        <f ca="1">IF(SUM($H223:AI223) &gt; SUM($H221:AI221),  " N/A", IF(SUM($H223:$BG223) = SUM($H179:$BH179),    " ",IF(AI223 = SUM($H179:$BH179),  " ",   "x")))</f>
        <v xml:space="preserve"> </v>
      </c>
      <c r="AJ225" s="50" t="str">
        <f ca="1">IF(SUM($H223:AJ223) &gt; SUM($H221:AJ221),  " N/A", IF(SUM($H223:$BG223) = SUM($H179:$BH179),    " ",IF(AJ223 = SUM($H179:$BH179),  " ",   "x")))</f>
        <v>x</v>
      </c>
      <c r="AK225" s="50" t="str">
        <f ca="1">IF(SUM($H223:AK223) &gt; SUM($H221:AK221),  " N/A", IF(SUM($H223:$BG223) = SUM($H179:$BH179),    " ",IF(AK223 = SUM($H179:$BH179),  " ",   "x")))</f>
        <v xml:space="preserve"> </v>
      </c>
      <c r="AL225" s="50" t="str">
        <f ca="1">IF(SUM($H223:AL223) &gt; SUM($H221:AL221),  " N/A", IF(SUM($H223:$BG223) = SUM($H179:$BH179),    " ",IF(AL223 = SUM($H179:$BH179),  " ",   "x")))</f>
        <v xml:space="preserve"> </v>
      </c>
      <c r="AM225" s="50" t="str">
        <f ca="1">IF(SUM($H223:AM223) &gt; SUM($H221:AM221),  " N/A", IF(SUM($H223:$BG223) = SUM($H179:$BH179),    " ",IF(AM223 = SUM($H179:$BH179),  " ",   "x")))</f>
        <v xml:space="preserve"> </v>
      </c>
      <c r="AN225" s="50" t="str">
        <f ca="1">IF(SUM($H223:AN223) &gt; SUM($H221:AN221),  " N/A", IF(SUM($H223:$BG223) = SUM($H179:$BH179),    " ",IF(AN223 = SUM($H179:$BH179),  " ",   "x")))</f>
        <v xml:space="preserve"> </v>
      </c>
      <c r="AO225" s="50" t="str">
        <f ca="1">IF(SUM($H223:AO223) &gt; SUM($H221:AO221),  " N/A", IF(SUM($H223:$BG223) = SUM($H179:$BH179),    " ",IF(AO223 = SUM($H179:$BH179),  " ",   "x")))</f>
        <v xml:space="preserve"> </v>
      </c>
      <c r="AP225" s="50" t="str">
        <f ca="1">IF(SUM($H223:AP223) &gt; SUM($H221:AP221),  " N/A", IF(SUM($H223:$BG223) = SUM($H179:$BH179),    " ",IF(AP223 = SUM($H179:$BH179),  " ",   "x")))</f>
        <v xml:space="preserve"> </v>
      </c>
      <c r="AQ225" s="50" t="str">
        <f ca="1">IF(SUM($H223:AQ223) &gt; SUM($H221:AQ221),  " N/A", IF(SUM($H223:$BG223) = SUM($H179:$BH179),    " ",IF(AQ223 = SUM($H179:$BH179),  " ",   "x")))</f>
        <v xml:space="preserve"> </v>
      </c>
      <c r="AR225" s="50" t="str">
        <f ca="1">IF(SUM($H223:AR223) &gt; SUM($H221:AR221),  " N/A", IF(SUM($H223:$BG223) = SUM($H179:$BH179),    " ",IF(AR223 = SUM($H179:$BH179),  " ",   "x")))</f>
        <v xml:space="preserve"> </v>
      </c>
      <c r="AS225" s="50" t="str">
        <f ca="1">IF(SUM($H223:AS223) &gt; SUM($H221:AS221),  " N/A", IF(SUM($H223:$BG223) = SUM($H179:$BH179),    " ",IF(AS223 = SUM($H179:$BH179),  " ",   "x")))</f>
        <v xml:space="preserve"> </v>
      </c>
      <c r="AT225" s="50" t="str">
        <f ca="1">IF(SUM($H223:AT223) &gt; SUM($H221:AT221),  " N/A", IF(SUM($H223:$BG223) = SUM($H179:$BH179),    " ",IF(AT223 = SUM($H179:$BH179),  " ",   "x")))</f>
        <v xml:space="preserve"> </v>
      </c>
      <c r="AU225" s="50" t="str">
        <f ca="1">IF(SUM($H223:AU223) &gt; SUM($H221:AU221),  " N/A", IF(SUM($H223:$BG223) = SUM($H179:$BH179),    " ",IF(AU223 = SUM($H179:$BH179),  " ",   "x")))</f>
        <v xml:space="preserve"> </v>
      </c>
      <c r="AV225" s="50" t="str">
        <f ca="1">IF(SUM($H223:AV223) &gt; SUM($H221:AV221),  " N/A", IF(SUM($H223:$BG223) = SUM($H179:$BH179),    " ",IF(AV223 = SUM($H179:$BH179),  " ",   "x")))</f>
        <v xml:space="preserve"> </v>
      </c>
      <c r="AW225" s="50" t="str">
        <f ca="1">IF(SUM($H223:AW223) &gt; SUM($H221:AW221),  " N/A", IF(SUM($H223:$BG223) = SUM($H179:$BH179),    " ",IF(AW223 = SUM($H179:$BH179),  " ",   "x")))</f>
        <v xml:space="preserve"> </v>
      </c>
      <c r="AX225" s="50" t="str">
        <f ca="1">IF(SUM($H223:AX223) &gt; SUM($H221:AX221),  " N/A", IF(SUM($H223:$BG223) = SUM($H179:$BH179),    " ",IF(AX223 = SUM($H179:$BH179),  " ",   "x")))</f>
        <v xml:space="preserve"> </v>
      </c>
      <c r="AY225" s="50" t="str">
        <f ca="1">IF(SUM($H223:AY223) &gt; SUM($H221:AY221),  " N/A", IF(SUM($H223:$BG223) = SUM($H179:$BH179),    " ",IF(AY223 = SUM($H179:$BH179),  " ",   "x")))</f>
        <v xml:space="preserve"> </v>
      </c>
      <c r="AZ225" s="50" t="str">
        <f ca="1">IF(SUM($H223:AZ223) &gt; SUM($H221:AZ221),  " N/A", IF(SUM($H223:$BG223) = SUM($H179:$BH179),    " ",IF(AZ223 = SUM($H179:$BH179),  " ",   "x")))</f>
        <v xml:space="preserve"> </v>
      </c>
      <c r="BA225" s="50" t="str">
        <f ca="1">IF(SUM($H223:BA223) &gt; SUM($H221:BA221),  " N/A", IF(SUM($H223:$BG223) = SUM($H179:$BH179),    " ",IF(BA223 = SUM($H179:$BH179),  " ",   "x")))</f>
        <v xml:space="preserve"> </v>
      </c>
      <c r="BB225" s="50" t="str">
        <f ca="1">IF(SUM($H223:BB223) &gt; SUM($H221:BB221),  " N/A", IF(SUM($H223:$BG223) = SUM($H179:$BH179),    " ",IF(BB223 = SUM($H179:$BH179),  " ",   "x")))</f>
        <v xml:space="preserve"> </v>
      </c>
      <c r="BC225" s="50" t="str">
        <f ca="1">IF(SUM($H223:BC223) &gt; SUM($H221:BC221),  " N/A", IF(SUM($H223:$BG223) = SUM($H179:$BH179),    " ",IF(BC223 = SUM($H179:$BH179),  " ",   "x")))</f>
        <v xml:space="preserve"> </v>
      </c>
      <c r="BD225" s="50" t="str">
        <f ca="1">IF(SUM($H223:BD223) &gt; SUM($H221:BD221),  " N/A", IF(SUM($H223:$BG223) = SUM($H179:$BH179),    " ",IF(BD223 = SUM($H179:$BH179),  " ",   "x")))</f>
        <v xml:space="preserve"> </v>
      </c>
      <c r="BE225" s="50" t="str">
        <f ca="1">IF(SUM($H223:BE223) &gt; SUM($H221:BE221),  " N/A", IF(SUM($H223:$BG223) = SUM($H179:$BH179),    " ",IF(BE223 = SUM($H179:$BH179),  " ",   "x")))</f>
        <v xml:space="preserve"> </v>
      </c>
      <c r="BF225" s="50" t="str">
        <f ca="1">IF(SUM($H223:BF223) &gt; SUM($H221:BF221),  " N/A", IF(SUM($H223:$BG223) = SUM($H179:$BH179),    " ",IF(BF223 = SUM($H179:$BH179),  " ",   "x")))</f>
        <v xml:space="preserve"> </v>
      </c>
      <c r="BG225" s="50" t="str">
        <f ca="1">IF(SUM($H223:BG223) &gt; SUM($H221:BG221),  " N/A", IF(SUM($H223:$BG223) = SUM($H179:$BH179),    " ",IF(BG223 = SUM($H179:$BH179),  " ",   "x")))</f>
        <v xml:space="preserve"> </v>
      </c>
      <c r="BH225" s="21"/>
    </row>
    <row r="226" spans="2:60" ht="15.6" x14ac:dyDescent="0.3">
      <c r="B226" s="71"/>
      <c r="C226" s="77"/>
      <c r="D226" s="82" t="s">
        <v>249</v>
      </c>
      <c r="E226" s="54">
        <f>SUM(H226:BG226)</f>
        <v>16</v>
      </c>
      <c r="F226" s="115">
        <f>Gant_24!$E226-E228</f>
        <v>0</v>
      </c>
      <c r="H226" s="41"/>
      <c r="I226" s="42"/>
      <c r="J226" s="42"/>
      <c r="K226" s="42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>
        <v>16</v>
      </c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  <c r="BC226" s="51"/>
      <c r="BD226" s="51"/>
      <c r="BE226" s="51"/>
      <c r="BF226" s="51"/>
      <c r="BG226" s="51"/>
      <c r="BH226" s="21"/>
    </row>
    <row r="227" spans="2:60" ht="15.6" x14ac:dyDescent="0.3">
      <c r="B227" s="68"/>
      <c r="C227" s="78"/>
      <c r="D227" s="83" t="s">
        <v>261</v>
      </c>
      <c r="E227" s="55">
        <f>SUM(H227:BG227)</f>
        <v>0</v>
      </c>
      <c r="F227" s="116"/>
      <c r="H227" s="43"/>
      <c r="I227" s="44"/>
      <c r="J227" s="44"/>
      <c r="K227" s="44"/>
      <c r="L227" s="50"/>
      <c r="M227" s="50"/>
      <c r="N227" s="50"/>
      <c r="O227" s="50"/>
      <c r="P227" s="50"/>
      <c r="Q227" s="50"/>
      <c r="R227" s="50"/>
      <c r="S227" s="50"/>
      <c r="T227" s="50"/>
      <c r="U227" s="50"/>
      <c r="V227" s="50"/>
      <c r="W227" s="50"/>
      <c r="X227" s="50"/>
      <c r="Y227" s="50"/>
      <c r="Z227" s="50"/>
      <c r="AA227" s="50"/>
      <c r="AB227" s="50"/>
      <c r="AC227" s="50"/>
      <c r="AD227" s="50"/>
      <c r="AE227" s="50"/>
      <c r="AF227" s="50"/>
      <c r="AG227" s="50"/>
      <c r="AH227" s="50"/>
      <c r="AI227" s="50"/>
      <c r="AJ227" s="50"/>
      <c r="AK227" s="50"/>
      <c r="AL227" s="50"/>
      <c r="AM227" s="50"/>
      <c r="AN227" s="50"/>
      <c r="AO227" s="50"/>
      <c r="AP227" s="50"/>
      <c r="AQ227" s="50"/>
      <c r="AR227" s="50"/>
      <c r="AS227" s="50"/>
      <c r="AT227" s="50"/>
      <c r="AU227" s="50"/>
      <c r="AV227" s="50"/>
      <c r="AW227" s="50"/>
      <c r="AX227" s="50"/>
      <c r="AY227" s="50"/>
      <c r="AZ227" s="50"/>
      <c r="BA227" s="50"/>
      <c r="BB227" s="50"/>
      <c r="BC227" s="50"/>
      <c r="BD227" s="50"/>
      <c r="BE227" s="50"/>
      <c r="BF227" s="50"/>
      <c r="BG227" s="50"/>
      <c r="BH227" s="21"/>
    </row>
    <row r="228" spans="2:60" ht="15.6" x14ac:dyDescent="0.3">
      <c r="B228" s="68" t="s">
        <v>187</v>
      </c>
      <c r="C228" s="78" t="s">
        <v>188</v>
      </c>
      <c r="D228" s="83" t="s">
        <v>241</v>
      </c>
      <c r="E228" s="55">
        <f>SUM(H228:BG228)</f>
        <v>16</v>
      </c>
      <c r="F228" s="116"/>
      <c r="H228" s="45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  <c r="AG228" s="46"/>
      <c r="AH228" s="46"/>
      <c r="AI228" s="46"/>
      <c r="AJ228" s="46">
        <v>16</v>
      </c>
      <c r="AK228" s="46"/>
      <c r="AL228" s="46"/>
      <c r="AM228" s="46"/>
      <c r="AN228" s="46"/>
      <c r="AO228" s="46"/>
      <c r="AP228" s="46"/>
      <c r="AQ228" s="46"/>
      <c r="AR228" s="46"/>
      <c r="AS228" s="46"/>
      <c r="AT228" s="46"/>
      <c r="AU228" s="46"/>
      <c r="AV228" s="46"/>
      <c r="AW228" s="46"/>
      <c r="AX228" s="46"/>
      <c r="AY228" s="46"/>
      <c r="AZ228" s="46"/>
      <c r="BA228" s="46"/>
      <c r="BB228" s="46"/>
      <c r="BC228" s="46"/>
      <c r="BD228" s="46"/>
      <c r="BE228" s="46"/>
      <c r="BF228" s="46"/>
      <c r="BG228" s="46"/>
      <c r="BH228" s="21"/>
    </row>
    <row r="229" spans="2:60" ht="15.6" x14ac:dyDescent="0.3">
      <c r="B229" s="68"/>
      <c r="C229" s="78"/>
      <c r="D229" s="83" t="s">
        <v>278</v>
      </c>
      <c r="E229" s="56">
        <f ca="1">MAX(H229:BG229)</f>
        <v>0</v>
      </c>
      <c r="F229" s="116"/>
      <c r="H229" s="47"/>
      <c r="I229" s="48"/>
      <c r="J229" s="48"/>
      <c r="K229" s="48"/>
      <c r="L229" s="50"/>
      <c r="M229" s="50"/>
      <c r="N229" s="50"/>
      <c r="O229" s="50"/>
      <c r="P229" s="50"/>
      <c r="Q229" s="50"/>
      <c r="R229" s="50"/>
      <c r="S229" s="50"/>
      <c r="T229" s="50"/>
      <c r="U229" s="50"/>
      <c r="V229" s="50"/>
      <c r="W229" s="50"/>
      <c r="X229" s="50"/>
      <c r="Y229" s="50"/>
      <c r="Z229" s="50"/>
      <c r="AA229" s="44"/>
      <c r="AB229" s="44"/>
      <c r="AC229" s="44"/>
      <c r="AD229" s="44" t="str">
        <f>IF(SUM(H226:BG226) = AD228, " 0 ", " ")</f>
        <v xml:space="preserve"> </v>
      </c>
      <c r="AE229" s="44" t="str">
        <f ca="1">IF(AE9&gt;WEEKNUM(TODAY())," ", IF(AND(AE10="x",SUM($AD228:AE228)&gt;$AD226),H9-(SUM($AD228:AE228)/SUM($AD226:$BG226)),IF(SUM($AD228:AE228)&gt;=$AD226," ",H9-(SUM($AD228:AE228)/(SUM($AD226:$BG226))))))</f>
        <v xml:space="preserve"> </v>
      </c>
      <c r="AF229" s="44" t="str">
        <f ca="1">IF(AF9&gt;WEEKNUM(TODAY())," ", IF(AND(AF10="x",SUM($AD228:AF228)&gt;$AD226),I9-(SUM($AD228:AF228)/SUM($AD226:$BG226)),IF(SUM($AD228:AF228)&gt;=$AD226," ",I9-(SUM($AD228:AF228)/(SUM($AD226:$BG226))))))</f>
        <v xml:space="preserve"> </v>
      </c>
      <c r="AG229" s="44" t="str">
        <f ca="1">IF(AG9&gt;WEEKNUM(TODAY())," ", IF(AND(AG10="x",SUM($AD228:AG228)&gt;$AD226),J9-(SUM($AD228:AG228)/SUM($AD226:$BG226)),IF(SUM($AD228:AG228)&gt;=$AD226," ",J9-(SUM($AD228:AG228)/(SUM($AD226:$BG226))))))</f>
        <v xml:space="preserve"> </v>
      </c>
      <c r="AH229" s="44" t="str">
        <f ca="1">IF(AH9&gt;WEEKNUM(TODAY())," ", IF(AND(AH10="x",SUM($AD228:AH228)&gt;$AD226),K9-(SUM($AD228:AH228)/SUM($AD226:$BG226)),IF(SUM($AD228:AH228)&gt;=$AD226," ",K9-(SUM($AD228:AH228)/(SUM($AD226:$BG226))))))</f>
        <v xml:space="preserve"> </v>
      </c>
      <c r="AI229" s="44" t="str">
        <f ca="1">IF(AI9&gt;WEEKNUM(TODAY())," ", IF(AND(AI10="x",SUM($AD228:AI228)&gt;$AD226),L9-(SUM($AD228:AI228)/SUM($AD226:$BG226)),IF(SUM($AD228:AI228)&gt;=$AD226," ",L9-(SUM($AD228:AI228)/(SUM($AD226:$BG226))))))</f>
        <v xml:space="preserve"> </v>
      </c>
      <c r="AJ229" s="44" t="str">
        <f ca="1">IF(AJ9&gt;WEEKNUM(TODAY())," ", IF(AND(AJ10="x",SUM($AD228:AJ228)&gt;$AD226),M9-(SUM($AD228:AJ228)/SUM($AD226:$BG226)),IF(SUM($AD228:AJ228)&gt;=$AD226," ",M9-(SUM($AD228:AJ228)/(SUM($AD226:$BG226))))))</f>
        <v xml:space="preserve"> </v>
      </c>
      <c r="AK229" s="44" t="str">
        <f ca="1">IF(AK9&gt;WEEKNUM(TODAY())," ", IF(AND(AK10="x",SUM($AD228:AK228)&gt;$AD226),N9-(SUM($AD228:AK228)/SUM($AD226:$BG226)),IF(SUM($AD228:AK228)&gt;=$AD226," ",N9-(SUM($AD228:AK228)/(SUM($AD226:$BG226))))))</f>
        <v xml:space="preserve"> </v>
      </c>
      <c r="AL229" s="44" t="str">
        <f ca="1">IF(AL9&gt;WEEKNUM(TODAY())," ", IF(AND(AL10="x",SUM($AD228:AL228)&gt;$AD226),O9-(SUM($AD228:AL228)/SUM($AD226:$BG226)),IF(SUM($AD228:AL228)&gt;=$AD226," ",O9-(SUM($AD228:AL228)/(SUM($AD226:$BG226))))))</f>
        <v xml:space="preserve"> </v>
      </c>
      <c r="AM229" s="44" t="str">
        <f ca="1">IF(AM9&gt;WEEKNUM(TODAY())," ", IF(AND(AM10="x",SUM($AD228:AM228)&gt;$AD226),P9-(SUM($AD228:AM228)/SUM($AD226:$BG226)),IF(SUM($AD228:AM228)&gt;=$AD226," ",P9-(SUM($AD228:AM228)/(SUM($AD226:$BG226))))))</f>
        <v xml:space="preserve"> </v>
      </c>
      <c r="AN229" s="44" t="str">
        <f ca="1">IF(AN9&gt;WEEKNUM(TODAY())," ", IF(AND(AN10="x",SUM($AD228:AN228)&gt;$AD226),Q9-(SUM($AD228:AN228)/SUM($AD226:$BG226)),IF(SUM($AD228:AN228)&gt;=$AD226," ",Q9-(SUM($AD228:AN228)/(SUM($AD226:$BG226))))))</f>
        <v xml:space="preserve"> </v>
      </c>
      <c r="AO229" s="44" t="str">
        <f ca="1">IF(AO9&gt;WEEKNUM(TODAY())," ", IF(AND(AO10="x",SUM($AD228:AO228)&gt;$AD226),R9-(SUM($AD228:AO228)/SUM($AD226:$BG226)),IF(SUM($AD228:AO228)&gt;=$AD226," ",R9-(SUM($AD228:AO228)/(SUM($AD226:$BG226))))))</f>
        <v xml:space="preserve"> </v>
      </c>
      <c r="AP229" s="44" t="str">
        <f ca="1">IF(AP9&gt;WEEKNUM(TODAY())," ", IF(AND(AP10="x",SUM($AD228:AP228)&gt;$AD226),S9-(SUM($AD228:AP228)/SUM($AD226:$BG226)),IF(SUM($AD228:AP228)&gt;=$AD226," ",S9-(SUM($AD228:AP228)/(SUM($AD226:$BG226))))))</f>
        <v xml:space="preserve"> </v>
      </c>
      <c r="AQ229" s="44" t="str">
        <f ca="1">IF(AQ9&gt;WEEKNUM(TODAY())," ", IF(AND(AQ10="x",SUM($AD228:AQ228)&gt;$AD226),T9-(SUM($AD228:AQ228)/SUM($AD226:$BG226)),IF(SUM($AD228:AQ228)&gt;=$AD226," ",T9-(SUM($AD228:AQ228)/(SUM($AD226:$BG226))))))</f>
        <v xml:space="preserve"> </v>
      </c>
      <c r="AR229" s="44" t="str">
        <f ca="1">IF(AR9&gt;WEEKNUM(TODAY())," ", IF(AND(AR10="x",SUM($AD228:AR228)&gt;$AD226),U9-(SUM($AD228:AR228)/SUM($AD226:$BG226)),IF(SUM($AD228:AR228)&gt;=$AD226," ",U9-(SUM($AD228:AR228)/(SUM($AD226:$BG226))))))</f>
        <v xml:space="preserve"> </v>
      </c>
      <c r="AS229" s="44" t="str">
        <f ca="1">IF(AS9&gt;WEEKNUM(TODAY())," ", IF(AND(AS10="x",SUM($AD228:AS228)&gt;$AD226),V9-(SUM($AD228:AS228)/SUM($AD226:$BG226)),IF(SUM($AD228:AS228)&gt;=$AD226," ",V9-(SUM($AD228:AS228)/(SUM($AD226:$BG226))))))</f>
        <v xml:space="preserve"> </v>
      </c>
      <c r="AT229" s="44" t="str">
        <f ca="1">IF(AT9&gt;WEEKNUM(TODAY())," ", IF(AND(AT10="x",SUM($AD228:AT228)&gt;$AD226),W9-(SUM($AD228:AT228)/SUM($AD226:$BG226)),IF(SUM($AD228:AT228)&gt;=$AD226," ",W9-(SUM($AD228:AT228)/(SUM($AD226:$BG226))))))</f>
        <v xml:space="preserve"> </v>
      </c>
      <c r="AU229" s="44" t="str">
        <f ca="1">IF(AU9&gt;WEEKNUM(TODAY())," ", IF(AND(AU10="x",SUM($AD228:AU228)&gt;$AD226),X9-(SUM($AD228:AU228)/SUM($AD226:$BG226)),IF(SUM($AD228:AU228)&gt;=$AD226," ",X9-(SUM($AD228:AU228)/(SUM($AD226:$BG226))))))</f>
        <v xml:space="preserve"> </v>
      </c>
      <c r="AV229" s="44" t="str">
        <f ca="1">IF(AV9&gt;WEEKNUM(TODAY())," ", IF(AND(AV10="x",SUM($AD228:AV228)&gt;$AD226),Y9-(SUM($AD228:AV228)/SUM($AD226:$BG226)),IF(SUM($AD228:AV228)&gt;=$AD226," ",Y9-(SUM($AD228:AV228)/(SUM($AD226:$BG226))))))</f>
        <v xml:space="preserve"> </v>
      </c>
      <c r="AW229" s="44" t="str">
        <f ca="1">IF(AW9&gt;WEEKNUM(TODAY())," ", IF(AND(AW10="x",SUM($AD228:AW228)&gt;$AD226),Z9-(SUM($AD228:AW228)/SUM($AD226:$BG226)),IF(SUM($AD228:AW228)&gt;=$AD226," ",Z9-(SUM($AD228:AW228)/(SUM($AD226:$BG226))))))</f>
        <v xml:space="preserve"> </v>
      </c>
      <c r="AX229" s="44" t="str">
        <f ca="1">IF(AX9&gt;WEEKNUM(TODAY())," ", IF(AND(AX10="x",SUM($AD228:AX228)&gt;$AD226),AA9-(SUM($AD228:AX228)/SUM($AD226:$BG226)),IF(SUM($AD228:AX228)&gt;=$AD226," ",AA9-(SUM($AD228:AX228)/(SUM($AD226:$BG226))))))</f>
        <v xml:space="preserve"> </v>
      </c>
      <c r="AY229" s="44" t="str">
        <f ca="1">IF(AY9&gt;WEEKNUM(TODAY())," ", IF(AND(AY10="x",SUM($AD228:AY228)&gt;$AD226),AB9-(SUM($AD228:AY228)/SUM($AD226:$BG226)),IF(SUM($AD228:AY228)&gt;=$AD226," ",AB9-(SUM($AD228:AY228)/(SUM($AD226:$BG226))))))</f>
        <v xml:space="preserve"> </v>
      </c>
      <c r="AZ229" s="44" t="str">
        <f ca="1">IF(AZ9&gt;WEEKNUM(TODAY())," ", IF(AND(AZ10="x",SUM($AD228:AZ228)&gt;$AD226),AC9-(SUM($AD228:AZ228)/SUM($AD226:$BG226)),IF(SUM($AD228:AZ228)&gt;=$AD226," ",AC9-(SUM($AD228:AZ228)/(SUM($AD226:$BG226))))))</f>
        <v xml:space="preserve"> </v>
      </c>
      <c r="BA229" s="44" t="str">
        <f ca="1">IF(BA9&gt;WEEKNUM(TODAY())," ", IF(AND(BA10="x",SUM($AD228:BA228)&gt;$AD226),AD9-(SUM($AD228:BA228)/SUM($AD226:$BG226)),IF(SUM($AD228:BA228)&gt;=$AD226," ",AD9-(SUM($AD228:BA228)/(SUM($AD226:$BG226))))))</f>
        <v xml:space="preserve"> </v>
      </c>
      <c r="BB229" s="44" t="str">
        <f ca="1">IF(BB9&gt;WEEKNUM(TODAY())," ", IF(AND(BB10="x",SUM($AD228:BB228)&gt;$AD226),AE9-(SUM($AD228:BB228)/SUM($AD226:$BG226)),IF(SUM($AD228:BB228)&gt;=$AD226," ",AE9-(SUM($AD228:BB228)/(SUM($AD226:$BG226))))))</f>
        <v xml:space="preserve"> </v>
      </c>
      <c r="BC229" s="44" t="str">
        <f ca="1">IF(BC9&gt;WEEKNUM(TODAY())," ", IF(AND(BC10="x",SUM($AD228:BC228)&gt;$AD226),AF9-(SUM($AD228:BC228)/SUM($AD226:$BG226)),IF(SUM($AD228:BC228)&gt;=$AD226," ",AF9-(SUM($AD228:BC228)/(SUM($AD226:$BG226))))))</f>
        <v xml:space="preserve"> </v>
      </c>
      <c r="BD229" s="44" t="str">
        <f ca="1">IF(BD9&gt;WEEKNUM(TODAY())," ", IF(AND(BD10="x",SUM($AD228:BD228)&gt;$AD226),AG9-(SUM($AD228:BD228)/SUM($AD226:$BG226)),IF(SUM($AD228:BD228)&gt;=$AD226," ",AG9-(SUM($AD228:BD228)/(SUM($AD226:$BG226))))))</f>
        <v xml:space="preserve"> </v>
      </c>
      <c r="BE229" s="44" t="str">
        <f ca="1">IF(BE9&gt;WEEKNUM(TODAY())," ", IF(AND(BE10="x",SUM($AD228:BE228)&gt;$AD226),AH9-(SUM($AD228:BE228)/SUM($AD226:$BG226)),IF(SUM($AD228:BE228)&gt;=$AD226," ",AH9-(SUM($AD228:BE228)/(SUM($AD226:$BG226))))))</f>
        <v xml:space="preserve"> </v>
      </c>
      <c r="BF229" s="44" t="str">
        <f ca="1">IF(BF9&gt;WEEKNUM(TODAY())," ", IF(AND(BF10="x",SUM($AD228:BF228)&gt;$AD226),AI9-(SUM($AD228:BF228)/SUM($AD226:$BG226)),IF(SUM($AD228:BF228)&gt;=$AD226," ",AI9-(SUM($AD228:BF228)/(SUM($AD226:$BG226))))))</f>
        <v xml:space="preserve"> </v>
      </c>
      <c r="BG229" s="44" t="str">
        <f ca="1">IF(BG9&gt;WEEKNUM(TODAY())," ", IF(AND(BG10="x",SUM($AD228:BG228)&gt;$AD226),AJ9-(SUM($AD228:BG228)/SUM($AD226:$BG226)),IF(SUM($AD228:BG228)&gt;=$AD226," ",AJ9-(SUM($AD228:BG228)/(SUM($AD226:$BG226))))))</f>
        <v xml:space="preserve"> </v>
      </c>
      <c r="BH229" s="21"/>
    </row>
    <row r="230" spans="2:60" ht="16.2" thickBot="1" x14ac:dyDescent="0.35">
      <c r="B230" s="70"/>
      <c r="C230" s="79"/>
      <c r="D230" s="84"/>
      <c r="E230" s="57"/>
      <c r="F230" s="117"/>
      <c r="H230" s="49" t="str">
        <f>IF(H226= " ", " ",IF(H228&gt;SUM($H226:$BG226), " N/A", IF(SUM($H228:$BG228)=SUM($H226:BG226), " ", IF(H228=SUM($H226:BG226), " ", "x"))))</f>
        <v xml:space="preserve"> </v>
      </c>
      <c r="I230" s="50" t="str">
        <f>IF(SUM($H228:I228) &gt; SUM($H226:I226),  " N/A", IF(SUM($H228:$BG228) = SUM($H226:$BH226),    " ",IF(I228 = SUM($H226:$BH226),  " ",   "x")))</f>
        <v xml:space="preserve"> </v>
      </c>
      <c r="J230" s="50" t="str">
        <f>IF(SUM($H228:J228) &gt; SUM($H226:J226),  " N/A", IF(SUM($H228:$BG228) = SUM($H226:$BH226),    " ",IF(J228 = SUM($H226:$BH226),  " ",   "x")))</f>
        <v xml:space="preserve"> </v>
      </c>
      <c r="K230" s="50" t="str">
        <f>IF(SUM($H228:K228) &gt; SUM($H226:K226),  " N/A", IF(SUM($H228:$BG228) = SUM($H226:$BH226),    " ",IF(K228 = SUM($H226:$BH226),  " ",   "x")))</f>
        <v xml:space="preserve"> </v>
      </c>
      <c r="L230" s="50" t="str">
        <f>IF(SUM($H228:L228) &gt; SUM($H226:L226),  " N/A", IF(SUM($H228:$BG228) = SUM($H226:$BH226),    " ",IF(L228 = SUM($H226:$BH226),  " ",   "x")))</f>
        <v xml:space="preserve"> </v>
      </c>
      <c r="M230" s="50" t="str">
        <f>IF(SUM($H228:M228) &gt; SUM($H226:M226),  " N/A", IF(SUM($H228:$BG228) = SUM($H226:$BH226),    " ",IF(M228 = SUM($H226:$BH226),  " ",   "x")))</f>
        <v xml:space="preserve"> </v>
      </c>
      <c r="N230" s="50" t="str">
        <f>IF(SUM($H228:N228) &gt; SUM($H226:N226),  " N/A", IF(SUM($H228:$BG228) = SUM($H226:$BH226),    " ",IF(N228 = SUM($H226:$BH226),  " ",   "x")))</f>
        <v xml:space="preserve"> </v>
      </c>
      <c r="O230" s="50" t="str">
        <f>IF(SUM($H228:O228) &gt; SUM($H226:O226),  " N/A", IF(SUM($H228:$BG228) = SUM($H226:$BH226),    " ",IF(O228 = SUM($H226:$BH226),  " ",   "x")))</f>
        <v xml:space="preserve"> </v>
      </c>
      <c r="P230" s="50" t="str">
        <f>IF(SUM($H228:P228) &gt; SUM($H226:P226),  " N/A", IF(SUM($H228:$BG228) = SUM($H226:$BH226),    " ",IF(P228 = SUM($H226:$BH226),  " ",   "x")))</f>
        <v xml:space="preserve"> </v>
      </c>
      <c r="Q230" s="50" t="str">
        <f>IF(SUM($H228:Q228) &gt; SUM($H226:Q226),  " N/A", IF(SUM($H228:$BG228) = SUM($H226:$BH226),    " ",IF(Q228 = SUM($H226:$BH226),  " ",   "x")))</f>
        <v xml:space="preserve"> </v>
      </c>
      <c r="R230" s="50" t="str">
        <f>IF(SUM($H228:R228) &gt; SUM($H226:R226),  " N/A", IF(SUM($H228:$BG228) = SUM($H226:$BH226),    " ",IF(R228 = SUM($H226:$BH226),  " ",   "x")))</f>
        <v xml:space="preserve"> </v>
      </c>
      <c r="S230" s="50" t="str">
        <f>IF(SUM($H228:S228) &gt; SUM($H226:S226),  " N/A", IF(SUM($H228:$BG228) = SUM($H226:$BH226),    " ",IF(S228 = SUM($H226:$BH226),  " ",   "x")))</f>
        <v xml:space="preserve"> </v>
      </c>
      <c r="T230" s="50" t="str">
        <f>IF(SUM($H228:T228) &gt; SUM($H226:T226),  " N/A", IF(SUM($H228:$BG228) = SUM($H226:$BH226),    " ",IF(T228 = SUM($H226:$BH226),  " ",   "x")))</f>
        <v xml:space="preserve"> </v>
      </c>
      <c r="U230" s="50" t="str">
        <f>IF(SUM($H228:U228) &gt; SUM($H226:U226),  " N/A", IF(SUM($H228:$BG228) = SUM($H226:$BH226),    " ",IF(U228 = SUM($H226:$BH226),  " ",   "x")))</f>
        <v xml:space="preserve"> </v>
      </c>
      <c r="V230" s="50" t="str">
        <f>IF(SUM($H228:V228) &gt; SUM($H226:V226),  " N/A", IF(SUM($H228:$BG228) = SUM($H226:$BH226),    " ",IF(V228 = SUM($H226:$BH226),  " ",   "x")))</f>
        <v xml:space="preserve"> </v>
      </c>
      <c r="W230" s="50" t="str">
        <f>IF(SUM($H228:W228) &gt; SUM($H226:W226),  " N/A", IF(SUM($H228:$BG228) = SUM($H226:$BH226),    " ",IF(W228 = SUM($H226:$BH226),  " ",   "x")))</f>
        <v xml:space="preserve"> </v>
      </c>
      <c r="X230" s="50" t="str">
        <f>IF(SUM($H228:X228) &gt; SUM($H226:X226),  " N/A", IF(SUM($H228:$BG228) = SUM($H226:$BH226),    " ",IF(X228 = SUM($H226:$BH226),  " ",   "x")))</f>
        <v xml:space="preserve"> </v>
      </c>
      <c r="Y230" s="50" t="str">
        <f>IF(SUM($H228:Y228) &gt; SUM($H226:Y226),  " N/A", IF(SUM($H228:$BG228) = SUM($H226:$BH226),    " ",IF(Y228 = SUM($H226:$BH226),  " ",   "x")))</f>
        <v xml:space="preserve"> </v>
      </c>
      <c r="Z230" s="50" t="str">
        <f>IF(SUM($H228:Z228) &gt; SUM($H226:Z226),  " N/A", IF(SUM($H228:$BG228) = SUM($H226:$BH226),    " ",IF(Z228 = SUM($H226:$BH226),  " ",   "x")))</f>
        <v xml:space="preserve"> </v>
      </c>
      <c r="AA230" s="50" t="str">
        <f>IF(SUM($H228:AA228) &gt; SUM($H226:AA226),  " N/A", IF(SUM($H228:$BG228) = SUM($H226:$BH226),    " ",IF(AA228 = SUM($H226:$BH226),  " ",   "x")))</f>
        <v xml:space="preserve"> </v>
      </c>
      <c r="AB230" s="50" t="str">
        <f>IF(SUM($H228:AB228) &gt; SUM($H226:AB226),  " N/A", IF(SUM($H228:$BG228) = SUM($H226:$BH226),    " ",IF(AB228 = SUM($H226:$BH226),  " ",   "x")))</f>
        <v xml:space="preserve"> </v>
      </c>
      <c r="AC230" s="50" t="str">
        <f>IF(SUM($H228:AC228) &gt; SUM($H226:AC226),  " N/A", IF(SUM($H228:$BG228) = SUM($H226:$BH226),    " ",IF(AC228 = SUM($H226:$BH226),  " ",   "x")))</f>
        <v xml:space="preserve"> </v>
      </c>
      <c r="AD230" s="50" t="str">
        <f>IF(SUM($H228:AD228) &gt; SUM($H226:AD226),  " N/A", IF(SUM($H228:$BG228) = SUM($H226:$BH226),    " ",IF(AD228 = SUM($H226:$BH226),  " ",   "x")))</f>
        <v xml:space="preserve"> </v>
      </c>
      <c r="AE230" s="50" t="str">
        <f>IF(SUM($H228:AE228) &gt; SUM($H226:AE226),  " N/A", IF(SUM($H228:$BG228) = SUM($H226:$BH226),    " ",IF(AE228 = SUM($H226:$BH226),  " ",   "x")))</f>
        <v xml:space="preserve"> </v>
      </c>
      <c r="AF230" s="50" t="str">
        <f>IF(SUM($H228:AF228) &gt; SUM($H226:AF226),  " N/A", IF(SUM($H228:$BG228) = SUM($H226:$BH226),    " ",IF(AF228 = SUM($H226:$BH226),  " ",   "x")))</f>
        <v xml:space="preserve"> </v>
      </c>
      <c r="AG230" s="50" t="str">
        <f>IF(SUM($H228:AG228) &gt; SUM($H226:AG226),  " N/A", IF(SUM($H228:$BG228) = SUM($H226:$BH226),    " ",IF(AG228 = SUM($H226:$BH226),  " ",   "x")))</f>
        <v xml:space="preserve"> </v>
      </c>
      <c r="AH230" s="50" t="str">
        <f>IF(SUM($H228:AH228) &gt; SUM($H226:AH226),  " N/A", IF(SUM($H228:$BG228) = SUM($H226:$BH226),    " ",IF(AH228 = SUM($H226:$BH226),  " ",   "x")))</f>
        <v xml:space="preserve"> </v>
      </c>
      <c r="AI230" s="50" t="str">
        <f>IF(SUM($H228:AI228) &gt; SUM($H226:AI226),  " N/A", IF(SUM($H228:$BG228) = SUM($H226:$BH226),    " ",IF(AI228 = SUM($H226:$BH226),  " ",   "x")))</f>
        <v xml:space="preserve"> </v>
      </c>
      <c r="AJ230" s="50" t="str">
        <f>IF(SUM($H228:AJ228) &gt; SUM($H226:AJ226),  " N/A", IF(SUM($H228:$BG228) = SUM($H226:$BH226),    " ",IF(AJ228 = SUM($H226:$BH226),  " ",   "x")))</f>
        <v xml:space="preserve"> </v>
      </c>
      <c r="AK230" s="50" t="str">
        <f>IF(SUM($H228:AK228) &gt; SUM($H226:AK226),  " N/A", IF(SUM($H228:$BG228) = SUM($H226:$BH226),    " ",IF(AK228 = SUM($H226:$BH226),  " ",   "x")))</f>
        <v xml:space="preserve"> </v>
      </c>
      <c r="AL230" s="50" t="str">
        <f>IF(SUM($H228:AL228) &gt; SUM($H226:AL226),  " N/A", IF(SUM($H228:$BG228) = SUM($H226:$BH226),    " ",IF(AL228 = SUM($H226:$BH226),  " ",   "x")))</f>
        <v xml:space="preserve"> </v>
      </c>
      <c r="AM230" s="50" t="str">
        <f>IF(SUM($H228:AM228) &gt; SUM($H226:AM226),  " N/A", IF(SUM($H228:$BG228) = SUM($H226:$BH226),    " ",IF(AM228 = SUM($H226:$BH226),  " ",   "x")))</f>
        <v xml:space="preserve"> </v>
      </c>
      <c r="AN230" s="50" t="str">
        <f>IF(SUM($H228:AN228) &gt; SUM($H226:AN226),  " N/A", IF(SUM($H228:$BG228) = SUM($H226:$BH226),    " ",IF(AN228 = SUM($H226:$BH226),  " ",   "x")))</f>
        <v xml:space="preserve"> </v>
      </c>
      <c r="AO230" s="50" t="str">
        <f>IF(SUM($H228:AO228) &gt; SUM($H226:AO226),  " N/A", IF(SUM($H228:$BG228) = SUM($H226:$BH226),    " ",IF(AO228 = SUM($H226:$BH226),  " ",   "x")))</f>
        <v xml:space="preserve"> </v>
      </c>
      <c r="AP230" s="50" t="str">
        <f>IF(SUM($H228:AP228) &gt; SUM($H226:AP226),  " N/A", IF(SUM($H228:$BG228) = SUM($H226:$BH226),    " ",IF(AP228 = SUM($H226:$BH226),  " ",   "x")))</f>
        <v xml:space="preserve"> </v>
      </c>
      <c r="AQ230" s="50" t="str">
        <f>IF(SUM($H228:AQ228) &gt; SUM($H226:AQ226),  " N/A", IF(SUM($H228:$BG228) = SUM($H226:$BH226),    " ",IF(AQ228 = SUM($H226:$BH226),  " ",   "x")))</f>
        <v xml:space="preserve"> </v>
      </c>
      <c r="AR230" s="50" t="str">
        <f>IF(SUM($H228:AR228) &gt; SUM($H226:AR226),  " N/A", IF(SUM($H228:$BG228) = SUM($H226:$BH226),    " ",IF(AR228 = SUM($H226:$BH226),  " ",   "x")))</f>
        <v xml:space="preserve"> </v>
      </c>
      <c r="AS230" s="50" t="str">
        <f>IF(SUM($H228:AS228) &gt; SUM($H226:AS226),  " N/A", IF(SUM($H228:$BG228) = SUM($H226:$BH226),    " ",IF(AS228 = SUM($H226:$BH226),  " ",   "x")))</f>
        <v xml:space="preserve"> </v>
      </c>
      <c r="AT230" s="50" t="str">
        <f>IF(SUM($H228:AT228) &gt; SUM($H226:AT226),  " N/A", IF(SUM($H228:$BG228) = SUM($H226:$BH226),    " ",IF(AT228 = SUM($H226:$BH226),  " ",   "x")))</f>
        <v xml:space="preserve"> </v>
      </c>
      <c r="AU230" s="50" t="str">
        <f>IF(SUM($H228:AU228) &gt; SUM($H226:AU226),  " N/A", IF(SUM($H228:$BG228) = SUM($H226:$BH226),    " ",IF(AU228 = SUM($H226:$BH226),  " ",   "x")))</f>
        <v xml:space="preserve"> </v>
      </c>
      <c r="AV230" s="50" t="str">
        <f>IF(SUM($H228:AV228) &gt; SUM($H226:AV226),  " N/A", IF(SUM($H228:$BG228) = SUM($H226:$BH226),    " ",IF(AV228 = SUM($H226:$BH226),  " ",   "x")))</f>
        <v xml:space="preserve"> </v>
      </c>
      <c r="AW230" s="50" t="str">
        <f>IF(SUM($H228:AW228) &gt; SUM($H226:AW226),  " N/A", IF(SUM($H228:$BG228) = SUM($H226:$BH226),    " ",IF(AW228 = SUM($H226:$BH226),  " ",   "x")))</f>
        <v xml:space="preserve"> </v>
      </c>
      <c r="AX230" s="50" t="str">
        <f>IF(SUM($H228:AX228) &gt; SUM($H226:AX226),  " N/A", IF(SUM($H228:$BG228) = SUM($H226:$BH226),    " ",IF(AX228 = SUM($H226:$BH226),  " ",   "x")))</f>
        <v xml:space="preserve"> </v>
      </c>
      <c r="AY230" s="50" t="str">
        <f>IF(SUM($H228:AY228) &gt; SUM($H226:AY226),  " N/A", IF(SUM($H228:$BG228) = SUM($H226:$BH226),    " ",IF(AY228 = SUM($H226:$BH226),  " ",   "x")))</f>
        <v xml:space="preserve"> </v>
      </c>
      <c r="AZ230" s="50" t="str">
        <f>IF(SUM($H228:AZ228) &gt; SUM($H226:AZ226),  " N/A", IF(SUM($H228:$BG228) = SUM($H226:$BH226),    " ",IF(AZ228 = SUM($H226:$BH226),  " ",   "x")))</f>
        <v xml:space="preserve"> </v>
      </c>
      <c r="BA230" s="50" t="str">
        <f>IF(SUM($H228:BA228) &gt; SUM($H226:BA226),  " N/A", IF(SUM($H228:$BG228) = SUM($H226:$BH226),    " ",IF(BA228 = SUM($H226:$BH226),  " ",   "x")))</f>
        <v xml:space="preserve"> </v>
      </c>
      <c r="BB230" s="50" t="str">
        <f>IF(SUM($H228:BB228) &gt; SUM($H226:BB226),  " N/A", IF(SUM($H228:$BG228) = SUM($H226:$BH226),    " ",IF(BB228 = SUM($H226:$BH226),  " ",   "x")))</f>
        <v xml:space="preserve"> </v>
      </c>
      <c r="BC230" s="50" t="str">
        <f>IF(SUM($H228:BC228) &gt; SUM($H226:BC226),  " N/A", IF(SUM($H228:$BG228) = SUM($H226:$BH226),    " ",IF(BC228 = SUM($H226:$BH226),  " ",   "x")))</f>
        <v xml:space="preserve"> </v>
      </c>
      <c r="BD230" s="50" t="str">
        <f>IF(SUM($H228:BD228) &gt; SUM($H226:BD226),  " N/A", IF(SUM($H228:$BG228) = SUM($H226:$BH226),    " ",IF(BD228 = SUM($H226:$BH226),  " ",   "x")))</f>
        <v xml:space="preserve"> </v>
      </c>
      <c r="BE230" s="50" t="str">
        <f>IF(SUM($H228:BE228) &gt; SUM($H226:BE226),  " N/A", IF(SUM($H228:$BG228) = SUM($H226:$BH226),    " ",IF(BE228 = SUM($H226:$BH226),  " ",   "x")))</f>
        <v xml:space="preserve"> </v>
      </c>
      <c r="BF230" s="50" t="str">
        <f>IF(SUM($H228:BF228) &gt; SUM($H226:BF226),  " N/A", IF(SUM($H228:$BG228) = SUM($H226:$BH226),    " ",IF(BF228 = SUM($H226:$BH226),  " ",   "x")))</f>
        <v xml:space="preserve"> </v>
      </c>
      <c r="BG230" s="50" t="str">
        <f>IF(SUM($H228:BG228) &gt; SUM($H226:BG226),  " N/A", IF(SUM($H228:$BG228) = SUM($H226:$BH226),    " ",IF(BG228 = SUM($H226:$BH226),  " ",   "x")))</f>
        <v xml:space="preserve"> </v>
      </c>
      <c r="BH230" s="21"/>
    </row>
    <row r="231" spans="2:60" ht="15.6" x14ac:dyDescent="0.3">
      <c r="B231" s="71"/>
      <c r="C231" s="77"/>
      <c r="D231" s="82" t="s">
        <v>249</v>
      </c>
      <c r="E231" s="54">
        <f>SUM(H231:BG231)</f>
        <v>24</v>
      </c>
      <c r="F231" s="115">
        <f>Gant_24!$E231-E233</f>
        <v>0</v>
      </c>
      <c r="H231" s="41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>
        <v>24</v>
      </c>
      <c r="AE231" s="51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42"/>
      <c r="BB231" s="42"/>
      <c r="BC231" s="42"/>
      <c r="BD231" s="42"/>
      <c r="BE231" s="42"/>
      <c r="BF231" s="42"/>
      <c r="BG231" s="42"/>
      <c r="BH231" s="21"/>
    </row>
    <row r="232" spans="2:60" ht="15.6" x14ac:dyDescent="0.3">
      <c r="B232" s="68"/>
      <c r="C232" s="78"/>
      <c r="D232" s="83" t="s">
        <v>261</v>
      </c>
      <c r="E232" s="55">
        <f>SUM(H232:BG232)</f>
        <v>0</v>
      </c>
      <c r="F232" s="116"/>
      <c r="H232" s="43"/>
      <c r="I232" s="44"/>
      <c r="J232" s="44"/>
      <c r="K232" s="44"/>
      <c r="L232" s="44"/>
      <c r="M232" s="44"/>
      <c r="N232" s="44"/>
      <c r="O232" s="44"/>
      <c r="P232" s="44"/>
      <c r="Q232" s="44"/>
      <c r="R232" s="44"/>
      <c r="S232" s="44"/>
      <c r="T232" s="44"/>
      <c r="U232" s="44"/>
      <c r="V232" s="44"/>
      <c r="W232" s="44"/>
      <c r="X232" s="44"/>
      <c r="Y232" s="44"/>
      <c r="Z232" s="44"/>
      <c r="AA232" s="44"/>
      <c r="AB232" s="44"/>
      <c r="AC232" s="44"/>
      <c r="AD232" s="44"/>
      <c r="AE232" s="50"/>
      <c r="AF232" s="44"/>
      <c r="AG232" s="44"/>
      <c r="AH232" s="44"/>
      <c r="AI232" s="44"/>
      <c r="AJ232" s="44"/>
      <c r="AK232" s="44"/>
      <c r="AL232" s="44"/>
      <c r="AM232" s="44"/>
      <c r="AN232" s="44"/>
      <c r="AO232" s="44"/>
      <c r="AP232" s="44"/>
      <c r="AQ232" s="44"/>
      <c r="AR232" s="44"/>
      <c r="AS232" s="44"/>
      <c r="AT232" s="44"/>
      <c r="AU232" s="44"/>
      <c r="AV232" s="44"/>
      <c r="AW232" s="44"/>
      <c r="AX232" s="44"/>
      <c r="AY232" s="44"/>
      <c r="AZ232" s="44"/>
      <c r="BA232" s="44"/>
      <c r="BB232" s="44"/>
      <c r="BC232" s="44"/>
      <c r="BD232" s="44"/>
      <c r="BE232" s="44"/>
      <c r="BF232" s="44"/>
      <c r="BG232" s="44"/>
      <c r="BH232" s="21"/>
    </row>
    <row r="233" spans="2:60" ht="15.6" x14ac:dyDescent="0.3">
      <c r="B233" s="68" t="s">
        <v>190</v>
      </c>
      <c r="C233" s="78" t="s">
        <v>191</v>
      </c>
      <c r="D233" s="83" t="s">
        <v>241</v>
      </c>
      <c r="E233" s="55">
        <f>SUM(H233:BG233)</f>
        <v>24</v>
      </c>
      <c r="F233" s="116"/>
      <c r="H233" s="45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  <c r="AG233" s="46"/>
      <c r="AH233" s="46"/>
      <c r="AI233" s="46">
        <v>24</v>
      </c>
      <c r="AJ233" s="46"/>
      <c r="AK233" s="46"/>
      <c r="AL233" s="46"/>
      <c r="AM233" s="46"/>
      <c r="AN233" s="46"/>
      <c r="AO233" s="46"/>
      <c r="AP233" s="46"/>
      <c r="AQ233" s="46"/>
      <c r="AR233" s="46"/>
      <c r="AS233" s="46"/>
      <c r="AT233" s="46"/>
      <c r="AU233" s="46"/>
      <c r="AV233" s="46"/>
      <c r="AW233" s="46"/>
      <c r="AX233" s="46"/>
      <c r="AY233" s="46"/>
      <c r="AZ233" s="46"/>
      <c r="BA233" s="46"/>
      <c r="BB233" s="46"/>
      <c r="BC233" s="46"/>
      <c r="BD233" s="46"/>
      <c r="BE233" s="46"/>
      <c r="BF233" s="46"/>
      <c r="BG233" s="46"/>
      <c r="BH233" s="21"/>
    </row>
    <row r="234" spans="2:60" ht="15.6" x14ac:dyDescent="0.3">
      <c r="B234" s="68"/>
      <c r="C234" s="78"/>
      <c r="D234" s="83" t="s">
        <v>278</v>
      </c>
      <c r="E234" s="56">
        <f ca="1">MAX(H234:BG234)</f>
        <v>0</v>
      </c>
      <c r="F234" s="116"/>
      <c r="H234" s="47"/>
      <c r="I234" s="48"/>
      <c r="J234" s="48"/>
      <c r="K234" s="48"/>
      <c r="L234" s="44"/>
      <c r="M234" s="44"/>
      <c r="N234" s="44"/>
      <c r="O234" s="44"/>
      <c r="P234" s="44"/>
      <c r="Q234" s="44"/>
      <c r="R234" s="44"/>
      <c r="S234" s="44"/>
      <c r="T234" s="44"/>
      <c r="U234" s="44"/>
      <c r="V234" s="44"/>
      <c r="W234" s="44"/>
      <c r="X234" s="44"/>
      <c r="Y234" s="44"/>
      <c r="Z234" s="44"/>
      <c r="AA234" s="44"/>
      <c r="AB234" s="44"/>
      <c r="AC234" s="44"/>
      <c r="AD234" s="44" t="str">
        <f>IF(SUM(H231:BG231) = AD233, " 0 ", " ")</f>
        <v xml:space="preserve"> </v>
      </c>
      <c r="AE234" s="44" t="str">
        <f ca="1">IF(AE9&gt;WEEKNUM(TODAY())," ", IF(AND(AE10="x",SUM($AD233:AE233)&gt;$AD231),H9-(SUM($AD233:AE233)/SUM($AD231:$BG231)),IF(SUM($AD233:AE233)&gt;=$AD231," ",H9-(SUM($AD233:AE233)/(SUM($AD231:$BG231))))))</f>
        <v xml:space="preserve"> </v>
      </c>
      <c r="AF234" s="44" t="str">
        <f ca="1">IF(AF9&gt;WEEKNUM(TODAY())," ", IF(AND(AF10="x",SUM($AD233:AF233)&gt;$AD231),I9-(SUM($AD233:AF233)/SUM($AD231:$BG231)),IF(SUM($AD233:AF233)&gt;=$AD231," ",I9-(SUM($AD233:AF233)/(SUM($AD231:$BG231))))))</f>
        <v xml:space="preserve"> </v>
      </c>
      <c r="AG234" s="44" t="str">
        <f ca="1">IF(AG9&gt;WEEKNUM(TODAY())," ", IF(AND(AG10="x",SUM($AD233:AG233)&gt;$AD231),J9-(SUM($AD233:AG233)/SUM($AD231:$BG231)),IF(SUM($AD233:AG233)&gt;=$AD231," ",J9-(SUM($AD233:AG233)/(SUM($AD231:$BG231))))))</f>
        <v xml:space="preserve"> </v>
      </c>
      <c r="AH234" s="44" t="str">
        <f ca="1">IF(AH9&gt;WEEKNUM(TODAY())," ", IF(AND(AH10="x",SUM($AD233:AH233)&gt;$AD231),K9-(SUM($AD233:AH233)/SUM($AD231:$BG231)),IF(SUM($AD233:AH233)&gt;=$AD231," ",K9-(SUM($AD233:AH233)/(SUM($AD231:$BG231))))))</f>
        <v xml:space="preserve"> </v>
      </c>
      <c r="AI234" s="44" t="str">
        <f ca="1">IF(AI9&gt;WEEKNUM(TODAY())," ", IF(AND(AI10="x",SUM($AD233:AI233)&gt;$AD231),L9-(SUM($AD233:AI233)/SUM($AD231:$BG231)),IF(SUM($AD233:AI233)&gt;=$AD231," ",L9-(SUM($AD233:AI233)/(SUM($AD231:$BG231))))))</f>
        <v xml:space="preserve"> </v>
      </c>
      <c r="AJ234" s="44" t="str">
        <f ca="1">IF(AJ9&gt;WEEKNUM(TODAY())," ", IF(AND(AJ10="x",SUM($AD233:AJ233)&gt;$AD231),M9-(SUM($AD233:AJ233)/SUM($AD231:$BG231)),IF(SUM($AD233:AJ233)&gt;=$AD231," ",M9-(SUM($AD233:AJ233)/(SUM($AD231:$BG231))))))</f>
        <v xml:space="preserve"> </v>
      </c>
      <c r="AK234" s="44" t="str">
        <f ca="1">IF(AK9&gt;WEEKNUM(TODAY())," ", IF(AND(AK10="x",SUM($AD233:AK233)&gt;$AD231),N9-(SUM($AD233:AK233)/SUM($AD231:$BG231)),IF(SUM($AD233:AK233)&gt;=$AD231," ",N9-(SUM($AD233:AK233)/(SUM($AD231:$BG231))))))</f>
        <v xml:space="preserve"> </v>
      </c>
      <c r="AL234" s="44" t="str">
        <f ca="1">IF(AL9&gt;WEEKNUM(TODAY())," ", IF(AND(AL10="x",SUM($AD233:AL233)&gt;$AD231),O9-(SUM($AD233:AL233)/SUM($AD231:$BG231)),IF(SUM($AD233:AL233)&gt;=$AD231," ",O9-(SUM($AD233:AL233)/(SUM($AD231:$BG231))))))</f>
        <v xml:space="preserve"> </v>
      </c>
      <c r="AM234" s="44" t="str">
        <f ca="1">IF(AM9&gt;WEEKNUM(TODAY())," ", IF(AND(AM10="x",SUM($AD233:AM233)&gt;$AD231),P9-(SUM($AD233:AM233)/SUM($AD231:$BG231)),IF(SUM($AD233:AM233)&gt;=$AD231," ",P9-(SUM($AD233:AM233)/(SUM($AD231:$BG231))))))</f>
        <v xml:space="preserve"> </v>
      </c>
      <c r="AN234" s="44" t="str">
        <f ca="1">IF(AN9&gt;WEEKNUM(TODAY())," ", IF(AND(AN10="x",SUM($AD233:AN233)&gt;$AD231),Q9-(SUM($AD233:AN233)/SUM($AD231:$BG231)),IF(SUM($AD233:AN233)&gt;=$AD231," ",Q9-(SUM($AD233:AN233)/(SUM($AD231:$BG231))))))</f>
        <v xml:space="preserve"> </v>
      </c>
      <c r="AO234" s="44" t="str">
        <f ca="1">IF(AO9&gt;WEEKNUM(TODAY())," ", IF(AND(AO10="x",SUM($AD233:AO233)&gt;$AD231),R9-(SUM($AD233:AO233)/SUM($AD231:$BG231)),IF(SUM($AD233:AO233)&gt;=$AD231," ",R9-(SUM($AD233:AO233)/(SUM($AD231:$BG231))))))</f>
        <v xml:space="preserve"> </v>
      </c>
      <c r="AP234" s="44" t="str">
        <f ca="1">IF(AP9&gt;WEEKNUM(TODAY())," ", IF(AND(AP10="x",SUM($AD233:AP233)&gt;$AD231),S9-(SUM($AD233:AP233)/SUM($AD231:$BG231)),IF(SUM($AD233:AP233)&gt;=$AD231," ",S9-(SUM($AD233:AP233)/(SUM($AD231:$BG231))))))</f>
        <v xml:space="preserve"> </v>
      </c>
      <c r="AQ234" s="44" t="str">
        <f ca="1">IF(AQ9&gt;WEEKNUM(TODAY())," ", IF(AND(AQ10="x",SUM($AD233:AQ233)&gt;$AD231),T9-(SUM($AD233:AQ233)/SUM($AD231:$BG231)),IF(SUM($AD233:AQ233)&gt;=$AD231," ",T9-(SUM($AD233:AQ233)/(SUM($AD231:$BG231))))))</f>
        <v xml:space="preserve"> </v>
      </c>
      <c r="AR234" s="44" t="str">
        <f ca="1">IF(AR9&gt;WEEKNUM(TODAY())," ", IF(AND(AR10="x",SUM($AD233:AR233)&gt;$AD231),U9-(SUM($AD233:AR233)/SUM($AD231:$BG231)),IF(SUM($AD233:AR233)&gt;=$AD231," ",U9-(SUM($AD233:AR233)/(SUM($AD231:$BG231))))))</f>
        <v xml:space="preserve"> </v>
      </c>
      <c r="AS234" s="44" t="str">
        <f ca="1">IF(AS9&gt;WEEKNUM(TODAY())," ", IF(AND(AS10="x",SUM($AD233:AS233)&gt;$AD231),V9-(SUM($AD233:AS233)/SUM($AD231:$BG231)),IF(SUM($AD233:AS233)&gt;=$AD231," ",V9-(SUM($AD233:AS233)/(SUM($AD231:$BG231))))))</f>
        <v xml:space="preserve"> </v>
      </c>
      <c r="AT234" s="44" t="str">
        <f ca="1">IF(AT9&gt;WEEKNUM(TODAY())," ", IF(AND(AT10="x",SUM($AD233:AT233)&gt;$AD231),W9-(SUM($AD233:AT233)/SUM($AD231:$BG231)),IF(SUM($AD233:AT233)&gt;=$AD231," ",W9-(SUM($AD233:AT233)/(SUM($AD231:$BG231))))))</f>
        <v xml:space="preserve"> </v>
      </c>
      <c r="AU234" s="44" t="str">
        <f ca="1">IF(AU9&gt;WEEKNUM(TODAY())," ", IF(AND(AU10="x",SUM($AD233:AU233)&gt;$AD231),X9-(SUM($AD233:AU233)/SUM($AD231:$BG231)),IF(SUM($AD233:AU233)&gt;=$AD231," ",X9-(SUM($AD233:AU233)/(SUM($AD231:$BG231))))))</f>
        <v xml:space="preserve"> </v>
      </c>
      <c r="AV234" s="44" t="str">
        <f ca="1">IF(AV9&gt;WEEKNUM(TODAY())," ", IF(AND(AV10="x",SUM($AD233:AV233)&gt;$AD231),Y9-(SUM($AD233:AV233)/SUM($AD231:$BG231)),IF(SUM($AD233:AV233)&gt;=$AD231," ",Y9-(SUM($AD233:AV233)/(SUM($AD231:$BG231))))))</f>
        <v xml:space="preserve"> </v>
      </c>
      <c r="AW234" s="44" t="str">
        <f ca="1">IF(AW9&gt;WEEKNUM(TODAY())," ", IF(AND(AW10="x",SUM($AD233:AW233)&gt;$AD231),Z9-(SUM($AD233:AW233)/SUM($AD231:$BG231)),IF(SUM($AD233:AW233)&gt;=$AD231," ",Z9-(SUM($AD233:AW233)/(SUM($AD231:$BG231))))))</f>
        <v xml:space="preserve"> </v>
      </c>
      <c r="AX234" s="44" t="str">
        <f ca="1">IF(AX9&gt;WEEKNUM(TODAY())," ", IF(AND(AX10="x",SUM($AD233:AX233)&gt;$AD231),AA9-(SUM($AD233:AX233)/SUM($AD231:$BG231)),IF(SUM($AD233:AX233)&gt;=$AD231," ",AA9-(SUM($AD233:AX233)/(SUM($AD231:$BG231))))))</f>
        <v xml:space="preserve"> </v>
      </c>
      <c r="AY234" s="44" t="str">
        <f ca="1">IF(AY9&gt;WEEKNUM(TODAY())," ", IF(AND(AY10="x",SUM($AD233:AY233)&gt;$AD231),AB9-(SUM($AD233:AY233)/SUM($AD231:$BG231)),IF(SUM($AD233:AY233)&gt;=$AD231," ",AB9-(SUM($AD233:AY233)/(SUM($AD231:$BG231))))))</f>
        <v xml:space="preserve"> </v>
      </c>
      <c r="AZ234" s="44" t="str">
        <f ca="1">IF(AZ9&gt;WEEKNUM(TODAY())," ", IF(AND(AZ10="x",SUM($AD233:AZ233)&gt;$AD231),AC9-(SUM($AD233:AZ233)/SUM($AD231:$BG231)),IF(SUM($AD233:AZ233)&gt;=$AD231," ",AC9-(SUM($AD233:AZ233)/(SUM($AD231:$BG231))))))</f>
        <v xml:space="preserve"> </v>
      </c>
      <c r="BA234" s="44" t="str">
        <f ca="1">IF(BA9&gt;WEEKNUM(TODAY())," ", IF(AND(BA10="x",SUM($AD233:BA233)&gt;$AD231),AD9-(SUM($AD233:BA233)/SUM($AD231:$BG231)),IF(SUM($AD233:BA233)&gt;=$AD231," ",AD9-(SUM($AD233:BA233)/(SUM($AD231:$BG231))))))</f>
        <v xml:space="preserve"> </v>
      </c>
      <c r="BB234" s="44" t="str">
        <f ca="1">IF(BB9&gt;WEEKNUM(TODAY())," ", IF(AND(BB10="x",SUM($AD233:BB233)&gt;$AD231),AE9-(SUM($AD233:BB233)/SUM($AD231:$BG231)),IF(SUM($AD233:BB233)&gt;=$AD231," ",AE9-(SUM($AD233:BB233)/(SUM($AD231:$BG231))))))</f>
        <v xml:space="preserve"> </v>
      </c>
      <c r="BC234" s="44" t="str">
        <f ca="1">IF(BC9&gt;WEEKNUM(TODAY())," ", IF(AND(BC10="x",SUM($AD233:BC233)&gt;$AD231),AF9-(SUM($AD233:BC233)/SUM($AD231:$BG231)),IF(SUM($AD233:BC233)&gt;=$AD231," ",AF9-(SUM($AD233:BC233)/(SUM($AD231:$BG231))))))</f>
        <v xml:space="preserve"> </v>
      </c>
      <c r="BD234" s="44" t="str">
        <f ca="1">IF(BD9&gt;WEEKNUM(TODAY())," ", IF(AND(BD10="x",SUM($AD233:BD233)&gt;$AD231),AG9-(SUM($AD233:BD233)/SUM($AD231:$BG231)),IF(SUM($AD233:BD233)&gt;=$AD231," ",AG9-(SUM($AD233:BD233)/(SUM($AD231:$BG231))))))</f>
        <v xml:space="preserve"> </v>
      </c>
      <c r="BE234" s="44" t="str">
        <f ca="1">IF(BE9&gt;WEEKNUM(TODAY())," ", IF(AND(BE10="x",SUM($AD233:BE233)&gt;$AD231),AH9-(SUM($AD233:BE233)/SUM($AD231:$BG231)),IF(SUM($AD233:BE233)&gt;=$AD231," ",AH9-(SUM($AD233:BE233)/(SUM($AD231:$BG231))))))</f>
        <v xml:space="preserve"> </v>
      </c>
      <c r="BF234" s="44" t="str">
        <f ca="1">IF(BF9&gt;WEEKNUM(TODAY())," ", IF(AND(BF10="x",SUM($AD233:BF233)&gt;$AD231),AI9-(SUM($AD233:BF233)/SUM($AD231:$BG231)),IF(SUM($AD233:BF233)&gt;=$AD231," ",AI9-(SUM($AD233:BF233)/(SUM($AD231:$BG231))))))</f>
        <v xml:space="preserve"> </v>
      </c>
      <c r="BG234" s="44" t="str">
        <f ca="1">IF(BG9&gt;WEEKNUM(TODAY())," ", IF(AND(BG10="x",SUM($AD233:BG233)&gt;$AD231),AJ9-(SUM($AD233:BG233)/SUM($AD231:$BG231)),IF(SUM($AD233:BG233)&gt;=$AD231," ",AJ9-(SUM($AD233:BG233)/(SUM($AD231:$BG231))))))</f>
        <v xml:space="preserve"> </v>
      </c>
      <c r="BH234" s="21"/>
    </row>
    <row r="235" spans="2:60" ht="16.2" thickBot="1" x14ac:dyDescent="0.35">
      <c r="B235" s="70"/>
      <c r="C235" s="79"/>
      <c r="D235" s="84"/>
      <c r="E235" s="57"/>
      <c r="F235" s="117"/>
      <c r="H235" s="49" t="str">
        <f>IF(H231= " ", " ",IF(H233&gt;SUM($H231:$BG231), " N/A", IF(SUM($H233:$BG233)=SUM($H231:BG231), " ", IF(H233=SUM($H231:BG231), " ", "x"))))</f>
        <v xml:space="preserve"> </v>
      </c>
      <c r="I235" s="50" t="str">
        <f>IF(SUM($H233:I233) &gt; SUM($H231:I231),  " N/A", IF(SUM($H233:$BG233) = SUM($H231:$BH231),    " ",IF(I233 = SUM($H231:$BH231),  " ",   "x")))</f>
        <v xml:space="preserve"> </v>
      </c>
      <c r="J235" s="50" t="str">
        <f>IF(SUM($H233:J233) &gt; SUM($H231:J231),  " N/A", IF(SUM($H233:$BG233) = SUM($H231:$BH231),    " ",IF(J233 = SUM($H231:$BH231),  " ",   "x")))</f>
        <v xml:space="preserve"> </v>
      </c>
      <c r="K235" s="50" t="str">
        <f>IF(SUM($H233:K233) &gt; SUM($H231:K231),  " N/A", IF(SUM($H233:$BG233) = SUM($H231:$BH231),    " ",IF(K233 = SUM($H231:$BH231),  " ",   "x")))</f>
        <v xml:space="preserve"> </v>
      </c>
      <c r="L235" s="50" t="str">
        <f>IF(SUM($H233:L233) &gt; SUM($H231:L231),  " N/A", IF(SUM($H233:$BG233) = SUM($H231:$BH231),    " ",IF(L233 = SUM($H231:$BH231),  " ",   "x")))</f>
        <v xml:space="preserve"> </v>
      </c>
      <c r="M235" s="50" t="str">
        <f>IF(SUM($H233:M233) &gt; SUM($H231:M231),  " N/A", IF(SUM($H233:$BG233) = SUM($H231:$BH231),    " ",IF(M233 = SUM($H231:$BH231),  " ",   "x")))</f>
        <v xml:space="preserve"> </v>
      </c>
      <c r="N235" s="50" t="str">
        <f>IF(SUM($H233:N233) &gt; SUM($H231:N231),  " N/A", IF(SUM($H233:$BG233) = SUM($H231:$BH231),    " ",IF(N233 = SUM($H231:$BH231),  " ",   "x")))</f>
        <v xml:space="preserve"> </v>
      </c>
      <c r="O235" s="50" t="str">
        <f>IF(SUM($H233:O233) &gt; SUM($H231:O231),  " N/A", IF(SUM($H233:$BG233) = SUM($H231:$BH231),    " ",IF(O233 = SUM($H231:$BH231),  " ",   "x")))</f>
        <v xml:space="preserve"> </v>
      </c>
      <c r="P235" s="50" t="str">
        <f>IF(SUM($H233:P233) &gt; SUM($H231:P231),  " N/A", IF(SUM($H233:$BG233) = SUM($H231:$BH231),    " ",IF(P233 = SUM($H231:$BH231),  " ",   "x")))</f>
        <v xml:space="preserve"> </v>
      </c>
      <c r="Q235" s="50" t="str">
        <f>IF(SUM($H233:Q233) &gt; SUM($H231:Q231),  " N/A", IF(SUM($H233:$BG233) = SUM($H231:$BH231),    " ",IF(Q233 = SUM($H231:$BH231),  " ",   "x")))</f>
        <v xml:space="preserve"> </v>
      </c>
      <c r="R235" s="50" t="str">
        <f>IF(SUM($H233:R233) &gt; SUM($H231:R231),  " N/A", IF(SUM($H233:$BG233) = SUM($H231:$BH231),    " ",IF(R233 = SUM($H231:$BH231),  " ",   "x")))</f>
        <v xml:space="preserve"> </v>
      </c>
      <c r="S235" s="50" t="str">
        <f>IF(SUM($H233:S233) &gt; SUM($H231:S231),  " N/A", IF(SUM($H233:$BG233) = SUM($H231:$BH231),    " ",IF(S233 = SUM($H231:$BH231),  " ",   "x")))</f>
        <v xml:space="preserve"> </v>
      </c>
      <c r="T235" s="50" t="str">
        <f>IF(SUM($H233:T233) &gt; SUM($H231:T231),  " N/A", IF(SUM($H233:$BG233) = SUM($H231:$BH231),    " ",IF(T233 = SUM($H231:$BH231),  " ",   "x")))</f>
        <v xml:space="preserve"> </v>
      </c>
      <c r="U235" s="50" t="str">
        <f>IF(SUM($H233:U233) &gt; SUM($H231:U231),  " N/A", IF(SUM($H233:$BG233) = SUM($H231:$BH231),    " ",IF(U233 = SUM($H231:$BH231),  " ",   "x")))</f>
        <v xml:space="preserve"> </v>
      </c>
      <c r="V235" s="50" t="str">
        <f>IF(SUM($H233:V233) &gt; SUM($H231:V231),  " N/A", IF(SUM($H233:$BG233) = SUM($H231:$BH231),    " ",IF(V233 = SUM($H231:$BH231),  " ",   "x")))</f>
        <v xml:space="preserve"> </v>
      </c>
      <c r="W235" s="50" t="str">
        <f>IF(SUM($H233:W233) &gt; SUM($H231:W231),  " N/A", IF(SUM($H233:$BG233) = SUM($H231:$BH231),    " ",IF(W233 = SUM($H231:$BH231),  " ",   "x")))</f>
        <v xml:space="preserve"> </v>
      </c>
      <c r="X235" s="50" t="str">
        <f>IF(SUM($H233:X233) &gt; SUM($H231:X231),  " N/A", IF(SUM($H233:$BG233) = SUM($H231:$BH231),    " ",IF(X233 = SUM($H231:$BH231),  " ",   "x")))</f>
        <v xml:space="preserve"> </v>
      </c>
      <c r="Y235" s="50" t="str">
        <f>IF(SUM($H233:Y233) &gt; SUM($H231:Y231),  " N/A", IF(SUM($H233:$BG233) = SUM($H231:$BH231),    " ",IF(Y233 = SUM($H231:$BH231),  " ",   "x")))</f>
        <v xml:space="preserve"> </v>
      </c>
      <c r="Z235" s="50" t="str">
        <f>IF(SUM($H233:Z233) &gt; SUM($H231:Z231),  " N/A", IF(SUM($H233:$BG233) = SUM($H231:$BH231),    " ",IF(Z233 = SUM($H231:$BH231),  " ",   "x")))</f>
        <v xml:space="preserve"> </v>
      </c>
      <c r="AA235" s="50" t="str">
        <f>IF(SUM($H233:AA233) &gt; SUM($H231:AA231),  " N/A", IF(SUM($H233:$BG233) = SUM($H231:$BH231),    " ",IF(AA233 = SUM($H231:$BH231),  " ",   "x")))</f>
        <v xml:space="preserve"> </v>
      </c>
      <c r="AB235" s="50" t="str">
        <f>IF(SUM($H233:AB233) &gt; SUM($H231:AB231),  " N/A", IF(SUM($H233:$BG233) = SUM($H231:$BH231),    " ",IF(AB233 = SUM($H231:$BH231),  " ",   "x")))</f>
        <v xml:space="preserve"> </v>
      </c>
      <c r="AC235" s="50" t="str">
        <f>IF(SUM($H233:AC233) &gt; SUM($H231:AC231),  " N/A", IF(SUM($H233:$BG233) = SUM($H231:$BH231),    " ",IF(AC233 = SUM($H231:$BH231),  " ",   "x")))</f>
        <v xml:space="preserve"> </v>
      </c>
      <c r="AD235" s="50" t="str">
        <f>IF(SUM($H233:AD233) &gt; SUM($H231:AD231),  " N/A", IF(SUM($H233:$BG233) = SUM($H231:$BH231),    " ",IF(AD233 = SUM($H231:$BH231),  " ",   "x")))</f>
        <v xml:space="preserve"> </v>
      </c>
      <c r="AE235" s="50" t="str">
        <f>IF(SUM($H233:AE233) &gt; SUM($H231:AE231),  " N/A", IF(SUM($H233:$BG233) = SUM($H231:$BH231),    " ",IF(AE233 = SUM($H231:$BH231),  " ",   "x")))</f>
        <v xml:space="preserve"> </v>
      </c>
      <c r="AF235" s="50" t="str">
        <f>IF(SUM($H233:AF233) &gt; SUM($H231:AF231),  " N/A", IF(SUM($H233:$BG233) = SUM($H231:$BH231),    " ",IF(AF233 = SUM($H231:$BH231),  " ",   "x")))</f>
        <v xml:space="preserve"> </v>
      </c>
      <c r="AG235" s="50" t="str">
        <f>IF(SUM($H233:AG233) &gt; SUM($H231:AG231),  " N/A", IF(SUM($H233:$BG233) = SUM($H231:$BH231),    " ",IF(AG233 = SUM($H231:$BH231),  " ",   "x")))</f>
        <v xml:space="preserve"> </v>
      </c>
      <c r="AH235" s="50" t="str">
        <f>IF(SUM($H233:AH233) &gt; SUM($H231:AH231),  " N/A", IF(SUM($H233:$BG233) = SUM($H231:$BH231),    " ",IF(AH233 = SUM($H231:$BH231),  " ",   "x")))</f>
        <v xml:space="preserve"> </v>
      </c>
      <c r="AI235" s="50" t="str">
        <f>IF(SUM($H233:AI233) &gt; SUM($H231:AI231),  " N/A", IF(SUM($H233:$BG233) = SUM($H231:$BH231),    " ",IF(AI233 = SUM($H231:$BH231),  " ",   "x")))</f>
        <v xml:space="preserve"> </v>
      </c>
      <c r="AJ235" s="50" t="str">
        <f>IF(SUM($H233:AJ233) &gt; SUM($H231:AJ231),  " N/A", IF(SUM($H233:$BG233) = SUM($H231:$BH231),    " ",IF(AJ233 = SUM($H231:$BH231),  " ",   "x")))</f>
        <v xml:space="preserve"> </v>
      </c>
      <c r="AK235" s="50" t="str">
        <f>IF(SUM($H233:AK233) &gt; SUM($H231:AK231),  " N/A", IF(SUM($H233:$BG233) = SUM($H231:$BH231),    " ",IF(AK233 = SUM($H231:$BH231),  " ",   "x")))</f>
        <v xml:space="preserve"> </v>
      </c>
      <c r="AL235" s="50" t="str">
        <f>IF(SUM($H233:AL233) &gt; SUM($H231:AL231),  " N/A", IF(SUM($H233:$BG233) = SUM($H231:$BH231),    " ",IF(AL233 = SUM($H231:$BH231),  " ",   "x")))</f>
        <v xml:space="preserve"> </v>
      </c>
      <c r="AM235" s="50" t="str">
        <f>IF(SUM($H233:AM233) &gt; SUM($H231:AM231),  " N/A", IF(SUM($H233:$BG233) = SUM($H231:$BH231),    " ",IF(AM233 = SUM($H231:$BH231),  " ",   "x")))</f>
        <v xml:space="preserve"> </v>
      </c>
      <c r="AN235" s="50" t="str">
        <f>IF(SUM($H233:AN233) &gt; SUM($H231:AN231),  " N/A", IF(SUM($H233:$BG233) = SUM($H231:$BH231),    " ",IF(AN233 = SUM($H231:$BH231),  " ",   "x")))</f>
        <v xml:space="preserve"> </v>
      </c>
      <c r="AO235" s="50" t="str">
        <f>IF(SUM($H233:AO233) &gt; SUM($H231:AO231),  " N/A", IF(SUM($H233:$BG233) = SUM($H231:$BH231),    " ",IF(AO233 = SUM($H231:$BH231),  " ",   "x")))</f>
        <v xml:space="preserve"> </v>
      </c>
      <c r="AP235" s="50" t="str">
        <f>IF(SUM($H233:AP233) &gt; SUM($H231:AP231),  " N/A", IF(SUM($H233:$BG233) = SUM($H231:$BH231),    " ",IF(AP233 = SUM($H231:$BH231),  " ",   "x")))</f>
        <v xml:space="preserve"> </v>
      </c>
      <c r="AQ235" s="50" t="str">
        <f>IF(SUM($H233:AQ233) &gt; SUM($H231:AQ231),  " N/A", IF(SUM($H233:$BG233) = SUM($H231:$BH231),    " ",IF(AQ233 = SUM($H231:$BH231),  " ",   "x")))</f>
        <v xml:space="preserve"> </v>
      </c>
      <c r="AR235" s="50" t="str">
        <f>IF(SUM($H233:AR233) &gt; SUM($H231:AR231),  " N/A", IF(SUM($H233:$BG233) = SUM($H231:$BH231),    " ",IF(AR233 = SUM($H231:$BH231),  " ",   "x")))</f>
        <v xml:space="preserve"> </v>
      </c>
      <c r="AS235" s="50" t="str">
        <f>IF(SUM($H233:AS233) &gt; SUM($H231:AS231),  " N/A", IF(SUM($H233:$BG233) = SUM($H231:$BH231),    " ",IF(AS233 = SUM($H231:$BH231),  " ",   "x")))</f>
        <v xml:space="preserve"> </v>
      </c>
      <c r="AT235" s="50" t="str">
        <f>IF(SUM($H233:AT233) &gt; SUM($H231:AT231),  " N/A", IF(SUM($H233:$BG233) = SUM($H231:$BH231),    " ",IF(AT233 = SUM($H231:$BH231),  " ",   "x")))</f>
        <v xml:space="preserve"> </v>
      </c>
      <c r="AU235" s="50" t="str">
        <f>IF(SUM($H233:AU233) &gt; SUM($H231:AU231),  " N/A", IF(SUM($H233:$BG233) = SUM($H231:$BH231),    " ",IF(AU233 = SUM($H231:$BH231),  " ",   "x")))</f>
        <v xml:space="preserve"> </v>
      </c>
      <c r="AV235" s="50" t="str">
        <f>IF(SUM($H233:AV233) &gt; SUM($H231:AV231),  " N/A", IF(SUM($H233:$BG233) = SUM($H231:$BH231),    " ",IF(AV233 = SUM($H231:$BH231),  " ",   "x")))</f>
        <v xml:space="preserve"> </v>
      </c>
      <c r="AW235" s="50" t="str">
        <f>IF(SUM($H233:AW233) &gt; SUM($H231:AW231),  " N/A", IF(SUM($H233:$BG233) = SUM($H231:$BH231),    " ",IF(AW233 = SUM($H231:$BH231),  " ",   "x")))</f>
        <v xml:space="preserve"> </v>
      </c>
      <c r="AX235" s="50" t="str">
        <f>IF(SUM($H233:AX233) &gt; SUM($H231:AX231),  " N/A", IF(SUM($H233:$BG233) = SUM($H231:$BH231),    " ",IF(AX233 = SUM($H231:$BH231),  " ",   "x")))</f>
        <v xml:space="preserve"> </v>
      </c>
      <c r="AY235" s="50" t="str">
        <f>IF(SUM($H233:AY233) &gt; SUM($H231:AY231),  " N/A", IF(SUM($H233:$BG233) = SUM($H231:$BH231),    " ",IF(AY233 = SUM($H231:$BH231),  " ",   "x")))</f>
        <v xml:space="preserve"> </v>
      </c>
      <c r="AZ235" s="50" t="str">
        <f>IF(SUM($H233:AZ233) &gt; SUM($H231:AZ231),  " N/A", IF(SUM($H233:$BG233) = SUM($H231:$BH231),    " ",IF(AZ233 = SUM($H231:$BH231),  " ",   "x")))</f>
        <v xml:space="preserve"> </v>
      </c>
      <c r="BA235" s="50" t="str">
        <f>IF(SUM($H233:BA233) &gt; SUM($H231:BA231),  " N/A", IF(SUM($H233:$BG233) = SUM($H231:$BH231),    " ",IF(BA233 = SUM($H231:$BH231),  " ",   "x")))</f>
        <v xml:space="preserve"> </v>
      </c>
      <c r="BB235" s="50" t="str">
        <f>IF(SUM($H233:BB233) &gt; SUM($H231:BB231),  " N/A", IF(SUM($H233:$BG233) = SUM($H231:$BH231),    " ",IF(BB233 = SUM($H231:$BH231),  " ",   "x")))</f>
        <v xml:space="preserve"> </v>
      </c>
      <c r="BC235" s="50" t="str">
        <f>IF(SUM($H233:BC233) &gt; SUM($H231:BC231),  " N/A", IF(SUM($H233:$BG233) = SUM($H231:$BH231),    " ",IF(BC233 = SUM($H231:$BH231),  " ",   "x")))</f>
        <v xml:space="preserve"> </v>
      </c>
      <c r="BD235" s="50" t="str">
        <f>IF(SUM($H233:BD233) &gt; SUM($H231:BD231),  " N/A", IF(SUM($H233:$BG233) = SUM($H231:$BH231),    " ",IF(BD233 = SUM($H231:$BH231),  " ",   "x")))</f>
        <v xml:space="preserve"> </v>
      </c>
      <c r="BE235" s="50" t="str">
        <f>IF(SUM($H233:BE233) &gt; SUM($H231:BE231),  " N/A", IF(SUM($H233:$BG233) = SUM($H231:$BH231),    " ",IF(BE233 = SUM($H231:$BH231),  " ",   "x")))</f>
        <v xml:space="preserve"> </v>
      </c>
      <c r="BF235" s="50" t="str">
        <f>IF(SUM($H233:BF233) &gt; SUM($H231:BF231),  " N/A", IF(SUM($H233:$BG233) = SUM($H231:$BH231),    " ",IF(BF233 = SUM($H231:$BH231),  " ",   "x")))</f>
        <v xml:space="preserve"> </v>
      </c>
      <c r="BG235" s="50" t="str">
        <f>IF(SUM($H233:BG233) &gt; SUM($H231:BG231),  " N/A", IF(SUM($H233:$BG233) = SUM($H231:$BH231),    " ",IF(BG233 = SUM($H231:$BH231),  " ",   "x")))</f>
        <v xml:space="preserve"> </v>
      </c>
      <c r="BH235" s="21"/>
    </row>
    <row r="236" spans="2:60" ht="15.6" x14ac:dyDescent="0.3">
      <c r="B236" s="71"/>
      <c r="C236" s="77"/>
      <c r="D236" s="82" t="s">
        <v>249</v>
      </c>
      <c r="E236" s="54">
        <f>SUM(H236:BG236)</f>
        <v>24</v>
      </c>
      <c r="F236" s="115">
        <f>Gant_24!$E236-E238</f>
        <v>8</v>
      </c>
      <c r="H236" s="41"/>
      <c r="I236" s="42"/>
      <c r="J236" s="42"/>
      <c r="K236" s="42"/>
      <c r="L236" s="51"/>
      <c r="M236" s="51"/>
      <c r="N236" s="51"/>
      <c r="O236" s="51"/>
      <c r="P236" s="51"/>
      <c r="Q236" s="51"/>
      <c r="R236" s="51"/>
      <c r="S236" s="51"/>
      <c r="T236" s="51"/>
      <c r="U236" s="51"/>
      <c r="V236" s="51"/>
      <c r="W236" s="51"/>
      <c r="X236" s="51"/>
      <c r="Y236" s="51"/>
      <c r="Z236" s="51"/>
      <c r="AA236" s="51"/>
      <c r="AB236" s="51"/>
      <c r="AC236" s="51"/>
      <c r="AD236" s="51">
        <v>24</v>
      </c>
      <c r="AE236" s="51"/>
      <c r="AF236" s="51"/>
      <c r="AG236" s="51"/>
      <c r="AH236" s="51"/>
      <c r="AI236" s="51"/>
      <c r="AJ236" s="51"/>
      <c r="AK236" s="51"/>
      <c r="AL236" s="51"/>
      <c r="AM236" s="51"/>
      <c r="AN236" s="51"/>
      <c r="AO236" s="51"/>
      <c r="AP236" s="51"/>
      <c r="AQ236" s="51"/>
      <c r="AR236" s="51"/>
      <c r="AS236" s="51"/>
      <c r="AT236" s="51"/>
      <c r="AU236" s="51"/>
      <c r="AV236" s="51"/>
      <c r="AW236" s="51"/>
      <c r="AX236" s="51"/>
      <c r="AY236" s="51"/>
      <c r="AZ236" s="51"/>
      <c r="BA236" s="51"/>
      <c r="BB236" s="51"/>
      <c r="BC236" s="51"/>
      <c r="BD236" s="51"/>
      <c r="BE236" s="51"/>
      <c r="BF236" s="51"/>
      <c r="BG236" s="51"/>
      <c r="BH236" s="21"/>
    </row>
    <row r="237" spans="2:60" ht="15.6" x14ac:dyDescent="0.3">
      <c r="B237" s="68"/>
      <c r="C237" s="78"/>
      <c r="D237" s="83" t="s">
        <v>261</v>
      </c>
      <c r="E237" s="55">
        <f>SUM(H237:BG237)</f>
        <v>0</v>
      </c>
      <c r="F237" s="116"/>
      <c r="H237" s="43"/>
      <c r="I237" s="44"/>
      <c r="J237" s="44"/>
      <c r="K237" s="44"/>
      <c r="L237" s="50"/>
      <c r="M237" s="50"/>
      <c r="N237" s="50"/>
      <c r="O237" s="50"/>
      <c r="P237" s="50"/>
      <c r="Q237" s="50"/>
      <c r="R237" s="50"/>
      <c r="S237" s="50"/>
      <c r="T237" s="50"/>
      <c r="U237" s="50"/>
      <c r="V237" s="50"/>
      <c r="W237" s="50"/>
      <c r="X237" s="50"/>
      <c r="Y237" s="50"/>
      <c r="Z237" s="50"/>
      <c r="AA237" s="50"/>
      <c r="AB237" s="50"/>
      <c r="AC237" s="50"/>
      <c r="AD237" s="50"/>
      <c r="AE237" s="50"/>
      <c r="AF237" s="50"/>
      <c r="AG237" s="50"/>
      <c r="AH237" s="50"/>
      <c r="AI237" s="50"/>
      <c r="AJ237" s="50"/>
      <c r="AK237" s="50"/>
      <c r="AL237" s="50"/>
      <c r="AM237" s="50"/>
      <c r="AN237" s="50"/>
      <c r="AO237" s="50"/>
      <c r="AP237" s="50"/>
      <c r="AQ237" s="50"/>
      <c r="AR237" s="50"/>
      <c r="AS237" s="50"/>
      <c r="AT237" s="50"/>
      <c r="AU237" s="50"/>
      <c r="AV237" s="50"/>
      <c r="AW237" s="50"/>
      <c r="AX237" s="50"/>
      <c r="AY237" s="50"/>
      <c r="AZ237" s="50"/>
      <c r="BA237" s="50"/>
      <c r="BB237" s="50"/>
      <c r="BC237" s="50"/>
      <c r="BD237" s="50"/>
      <c r="BE237" s="50"/>
      <c r="BF237" s="50"/>
      <c r="BG237" s="50"/>
      <c r="BH237" s="21"/>
    </row>
    <row r="238" spans="2:60" ht="15.6" x14ac:dyDescent="0.3">
      <c r="B238" s="68" t="s">
        <v>194</v>
      </c>
      <c r="C238" s="78" t="s">
        <v>195</v>
      </c>
      <c r="D238" s="83" t="s">
        <v>241</v>
      </c>
      <c r="E238" s="55">
        <f>SUM(H238:BG238)</f>
        <v>16</v>
      </c>
      <c r="F238" s="116"/>
      <c r="H238" s="45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  <c r="AG238" s="46"/>
      <c r="AH238" s="46">
        <v>16</v>
      </c>
      <c r="AI238" s="46"/>
      <c r="AJ238" s="46"/>
      <c r="AK238" s="46"/>
      <c r="AL238" s="46"/>
      <c r="AM238" s="46"/>
      <c r="AN238" s="46"/>
      <c r="AO238" s="46"/>
      <c r="AP238" s="46"/>
      <c r="AQ238" s="46"/>
      <c r="AR238" s="46"/>
      <c r="AS238" s="46"/>
      <c r="AT238" s="46"/>
      <c r="AU238" s="46"/>
      <c r="AV238" s="46"/>
      <c r="AW238" s="46"/>
      <c r="AX238" s="46"/>
      <c r="AY238" s="46"/>
      <c r="AZ238" s="46"/>
      <c r="BA238" s="46"/>
      <c r="BB238" s="46"/>
      <c r="BC238" s="46"/>
      <c r="BD238" s="46"/>
      <c r="BE238" s="46"/>
      <c r="BF238" s="46"/>
      <c r="BG238" s="46"/>
      <c r="BH238" s="21"/>
    </row>
    <row r="239" spans="2:60" ht="15.6" x14ac:dyDescent="0.3">
      <c r="B239" s="68"/>
      <c r="C239" s="78"/>
      <c r="D239" s="83" t="s">
        <v>278</v>
      </c>
      <c r="E239" s="56">
        <f ca="1">MAX(H239:BG239)</f>
        <v>0</v>
      </c>
      <c r="F239" s="116"/>
      <c r="H239" s="47"/>
      <c r="I239" s="48"/>
      <c r="J239" s="48"/>
      <c r="K239" s="48"/>
      <c r="L239" s="50"/>
      <c r="M239" s="50"/>
      <c r="N239" s="50"/>
      <c r="O239" s="50"/>
      <c r="P239" s="50"/>
      <c r="Q239" s="50"/>
      <c r="R239" s="50"/>
      <c r="S239" s="50"/>
      <c r="T239" s="50"/>
      <c r="U239" s="50"/>
      <c r="V239" s="50"/>
      <c r="W239" s="50"/>
      <c r="X239" s="50"/>
      <c r="Y239" s="50"/>
      <c r="Z239" s="50"/>
      <c r="AA239" s="44"/>
      <c r="AB239" s="44"/>
      <c r="AC239" s="44"/>
      <c r="AD239" s="44" t="str">
        <f>IF(SUM(H236:BG236) = AD238, " 0 ", " ")</f>
        <v xml:space="preserve"> </v>
      </c>
      <c r="AE239" s="44" t="str">
        <f ca="1">IF(AE9&gt;WEEKNUM(TODAY())," ", IF(AND(AE10="x",SUM($AD238:AE238)&gt;$AD236),H9-(SUM($AD238:AE238)/SUM($AD236:$BG236)),IF(SUM($AD238:AE238)&gt;=$AD236," ",H9-(SUM($AD238:AE238)/(SUM($AD236:$BG236))))))</f>
        <v xml:space="preserve"> </v>
      </c>
      <c r="AF239" s="44" t="str">
        <f ca="1">IF(AF9&gt;WEEKNUM(TODAY())," ", IF(AND(AF10="x",SUM($AD238:AF238)&gt;$AD236),I9-(SUM($AD238:AF238)/SUM($AD236:$BG236)),IF(SUM($AD238:AF238)&gt;=$AD236," ",I9-(SUM($AD238:AF238)/(SUM($AD236:$BG236))))))</f>
        <v xml:space="preserve"> </v>
      </c>
      <c r="AG239" s="44" t="str">
        <f ca="1">IF(AG9&gt;WEEKNUM(TODAY())," ", IF(AND(AG10="x",SUM($AD238:AG238)&gt;$AD236),J9-(SUM($AD238:AG238)/SUM($AD236:$BG236)),IF(SUM($AD238:AG238)&gt;=$AD236," ",J9-(SUM($AD238:AG238)/(SUM($AD236:$BG236))))))</f>
        <v xml:space="preserve"> </v>
      </c>
      <c r="AH239" s="44" t="str">
        <f ca="1">IF(AH9&gt;WEEKNUM(TODAY())," ", IF(AND(AH10="x",SUM($AD238:AH238)&gt;$AD236),K9-(SUM($AD238:AH238)/SUM($AD236:$BG236)),IF(SUM($AD238:AH238)&gt;=$AD236," ",K9-(SUM($AD238:AH238)/(SUM($AD236:$BG236))))))</f>
        <v xml:space="preserve"> </v>
      </c>
      <c r="AI239" s="44" t="str">
        <f ca="1">IF(AI9&gt;WEEKNUM(TODAY())," ", IF(AND(AI10="x",SUM($AD238:AI238)&gt;$AD236),L9-(SUM($AD238:AI238)/SUM($AD236:$BG236)),IF(SUM($AD238:AI238)&gt;=$AD236," ",L9-(SUM($AD238:AI238)/(SUM($AD236:$BG236))))))</f>
        <v xml:space="preserve"> </v>
      </c>
      <c r="AJ239" s="44" t="str">
        <f ca="1">IF(AJ9&gt;WEEKNUM(TODAY())," ", IF(AND(AJ10="x",SUM($AD238:AJ238)&gt;$AD236),M9-(SUM($AD238:AJ238)/SUM($AD236:$BG236)),IF(SUM($AD238:AJ238)&gt;=$AD236," ",M9-(SUM($AD238:AJ238)/(SUM($AD236:$BG236))))))</f>
        <v xml:space="preserve"> </v>
      </c>
      <c r="AK239" s="44" t="str">
        <f ca="1">IF(AK9&gt;WEEKNUM(TODAY())," ", IF(AND(AK10="x",SUM($AD238:AK238)&gt;$AD236),N9-(SUM($AD238:AK238)/SUM($AD236:$BG236)),IF(SUM($AD238:AK238)&gt;=$AD236," ",N9-(SUM($AD238:AK238)/(SUM($AD236:$BG236))))))</f>
        <v xml:space="preserve"> </v>
      </c>
      <c r="AL239" s="44" t="str">
        <f ca="1">IF(AL9&gt;WEEKNUM(TODAY())," ", IF(AND(AL10="x",SUM($AD238:AL238)&gt;$AD236),O9-(SUM($AD238:AL238)/SUM($AD236:$BG236)),IF(SUM($AD238:AL238)&gt;=$AD236," ",O9-(SUM($AD238:AL238)/(SUM($AD236:$BG236))))))</f>
        <v xml:space="preserve"> </v>
      </c>
      <c r="AM239" s="44" t="str">
        <f ca="1">IF(AM9&gt;WEEKNUM(TODAY())," ", IF(AND(AM10="x",SUM($AD238:AM238)&gt;$AD236),P9-(SUM($AD238:AM238)/SUM($AD236:$BG236)),IF(SUM($AD238:AM238)&gt;=$AD236," ",P9-(SUM($AD238:AM238)/(SUM($AD236:$BG236))))))</f>
        <v xml:space="preserve"> </v>
      </c>
      <c r="AN239" s="44" t="str">
        <f ca="1">IF(AN9&gt;WEEKNUM(TODAY())," ", IF(AND(AN10="x",SUM($AD238:AN238)&gt;$AD236),Q9-(SUM($AD238:AN238)/SUM($AD236:$BG236)),IF(SUM($AD238:AN238)&gt;=$AD236," ",Q9-(SUM($AD238:AN238)/(SUM($AD236:$BG236))))))</f>
        <v xml:space="preserve"> </v>
      </c>
      <c r="AO239" s="44" t="str">
        <f ca="1">IF(AO9&gt;WEEKNUM(TODAY())," ", IF(AND(AO10="x",SUM($AD238:AO238)&gt;$AD236),R9-(SUM($AD238:AO238)/SUM($AD236:$BG236)),IF(SUM($AD238:AO238)&gt;=$AD236," ",R9-(SUM($AD238:AO238)/(SUM($AD236:$BG236))))))</f>
        <v xml:space="preserve"> </v>
      </c>
      <c r="AP239" s="44" t="str">
        <f ca="1">IF(AP9&gt;WEEKNUM(TODAY())," ", IF(AND(AP10="x",SUM($AD238:AP238)&gt;$AD236),S9-(SUM($AD238:AP238)/SUM($AD236:$BG236)),IF(SUM($AD238:AP238)&gt;=$AD236," ",S9-(SUM($AD238:AP238)/(SUM($AD236:$BG236))))))</f>
        <v xml:space="preserve"> </v>
      </c>
      <c r="AQ239" s="44" t="str">
        <f ca="1">IF(AQ9&gt;WEEKNUM(TODAY())," ", IF(AND(AQ10="x",SUM($AD238:AQ238)&gt;$AD236),T9-(SUM($AD238:AQ238)/SUM($AD236:$BG236)),IF(SUM($AD238:AQ238)&gt;=$AD236," ",T9-(SUM($AD238:AQ238)/(SUM($AD236:$BG236))))))</f>
        <v xml:space="preserve"> </v>
      </c>
      <c r="AR239" s="44" t="str">
        <f ca="1">IF(AR9&gt;WEEKNUM(TODAY())," ", IF(AND(AR10="x",SUM($AD238:AR238)&gt;$AD236),U9-(SUM($AD238:AR238)/SUM($AD236:$BG236)),IF(SUM($AD238:AR238)&gt;=$AD236," ",U9-(SUM($AD238:AR238)/(SUM($AD236:$BG236))))))</f>
        <v xml:space="preserve"> </v>
      </c>
      <c r="AS239" s="44" t="str">
        <f ca="1">IF(AS9&gt;WEEKNUM(TODAY())," ", IF(AND(AS10="x",SUM($AD238:AS238)&gt;$AD236),V9-(SUM($AD238:AS238)/SUM($AD236:$BG236)),IF(SUM($AD238:AS238)&gt;=$AD236," ",V9-(SUM($AD238:AS238)/(SUM($AD236:$BG236))))))</f>
        <v xml:space="preserve"> </v>
      </c>
      <c r="AT239" s="44" t="str">
        <f ca="1">IF(AT9&gt;WEEKNUM(TODAY())," ", IF(AND(AT10="x",SUM($AD238:AT238)&gt;$AD236),W9-(SUM($AD238:AT238)/SUM($AD236:$BG236)),IF(SUM($AD238:AT238)&gt;=$AD236," ",W9-(SUM($AD238:AT238)/(SUM($AD236:$BG236))))))</f>
        <v xml:space="preserve"> </v>
      </c>
      <c r="AU239" s="44" t="str">
        <f ca="1">IF(AU9&gt;WEEKNUM(TODAY())," ", IF(AND(AU10="x",SUM($AD238:AU238)&gt;$AD236),X9-(SUM($AD238:AU238)/SUM($AD236:$BG236)),IF(SUM($AD238:AU238)&gt;=$AD236," ",X9-(SUM($AD238:AU238)/(SUM($AD236:$BG236))))))</f>
        <v xml:space="preserve"> </v>
      </c>
      <c r="AV239" s="44" t="str">
        <f ca="1">IF(AV9&gt;WEEKNUM(TODAY())," ", IF(AND(AV10="x",SUM($AD238:AV238)&gt;$AD236),Y9-(SUM($AD238:AV238)/SUM($AD236:$BG236)),IF(SUM($AD238:AV238)&gt;=$AD236," ",Y9-(SUM($AD238:AV238)/(SUM($AD236:$BG236))))))</f>
        <v xml:space="preserve"> </v>
      </c>
      <c r="AW239" s="44" t="str">
        <f ca="1">IF(AW9&gt;WEEKNUM(TODAY())," ", IF(AND(AW10="x",SUM($AD238:AW238)&gt;$AD236),Z9-(SUM($AD238:AW238)/SUM($AD236:$BG236)),IF(SUM($AD238:AW238)&gt;=$AD236," ",Z9-(SUM($AD238:AW238)/(SUM($AD236:$BG236))))))</f>
        <v xml:space="preserve"> </v>
      </c>
      <c r="AX239" s="44" t="str">
        <f ca="1">IF(AX9&gt;WEEKNUM(TODAY())," ", IF(AND(AX10="x",SUM($AD238:AX238)&gt;$AD236),AA9-(SUM($AD238:AX238)/SUM($AD236:$BG236)),IF(SUM($AD238:AX238)&gt;=$AD236," ",AA9-(SUM($AD238:AX238)/(SUM($AD236:$BG236))))))</f>
        <v xml:space="preserve"> </v>
      </c>
      <c r="AY239" s="44" t="str">
        <f ca="1">IF(AY9&gt;WEEKNUM(TODAY())," ", IF(AND(AY10="x",SUM($AD238:AY238)&gt;$AD236),AB9-(SUM($AD238:AY238)/SUM($AD236:$BG236)),IF(SUM($AD238:AY238)&gt;=$AD236," ",AB9-(SUM($AD238:AY238)/(SUM($AD236:$BG236))))))</f>
        <v xml:space="preserve"> </v>
      </c>
      <c r="AZ239" s="44" t="str">
        <f ca="1">IF(AZ9&gt;WEEKNUM(TODAY())," ", IF(AND(AZ10="x",SUM($AD238:AZ238)&gt;$AD236),AC9-(SUM($AD238:AZ238)/SUM($AD236:$BG236)),IF(SUM($AD238:AZ238)&gt;=$AD236," ",AC9-(SUM($AD238:AZ238)/(SUM($AD236:$BG236))))))</f>
        <v xml:space="preserve"> </v>
      </c>
      <c r="BA239" s="44" t="str">
        <f ca="1">IF(BA9&gt;WEEKNUM(TODAY())," ", IF(AND(BA10="x",SUM($AD238:BA238)&gt;$AD236),AD9-(SUM($AD238:BA238)/SUM($AD236:$BG236)),IF(SUM($AD238:BA238)&gt;=$AD236," ",AD9-(SUM($AD238:BA238)/(SUM($AD236:$BG236))))))</f>
        <v xml:space="preserve"> </v>
      </c>
      <c r="BB239" s="44" t="str">
        <f ca="1">IF(BB9&gt;WEEKNUM(TODAY())," ", IF(AND(BB10="x",SUM($AD238:BB238)&gt;$AD236),AE9-(SUM($AD238:BB238)/SUM($AD236:$BG236)),IF(SUM($AD238:BB238)&gt;=$AD236," ",AE9-(SUM($AD238:BB238)/(SUM($AD236:$BG236))))))</f>
        <v xml:space="preserve"> </v>
      </c>
      <c r="BC239" s="44" t="str">
        <f ca="1">IF(BC9&gt;WEEKNUM(TODAY())," ", IF(AND(BC10="x",SUM($AD238:BC238)&gt;$AD236),AF9-(SUM($AD238:BC238)/SUM($AD236:$BG236)),IF(SUM($AD238:BC238)&gt;=$AD236," ",AF9-(SUM($AD238:BC238)/(SUM($AD236:$BG236))))))</f>
        <v xml:space="preserve"> </v>
      </c>
      <c r="BD239" s="44" t="str">
        <f ca="1">IF(BD9&gt;WEEKNUM(TODAY())," ", IF(AND(BD10="x",SUM($AD238:BD238)&gt;$AD236),AG9-(SUM($AD238:BD238)/SUM($AD236:$BG236)),IF(SUM($AD238:BD238)&gt;=$AD236," ",AG9-(SUM($AD238:BD238)/(SUM($AD236:$BG236))))))</f>
        <v xml:space="preserve"> </v>
      </c>
      <c r="BE239" s="44" t="str">
        <f ca="1">IF(BE9&gt;WEEKNUM(TODAY())," ", IF(AND(BE10="x",SUM($AD238:BE238)&gt;$AD236),AH9-(SUM($AD238:BE238)/SUM($AD236:$BG236)),IF(SUM($AD238:BE238)&gt;=$AD236," ",AH9-(SUM($AD238:BE238)/(SUM($AD236:$BG236))))))</f>
        <v xml:space="preserve"> </v>
      </c>
      <c r="BF239" s="44" t="str">
        <f ca="1">IF(BF9&gt;WEEKNUM(TODAY())," ", IF(AND(BF10="x",SUM($AD238:BF238)&gt;$AD236),AI9-(SUM($AD238:BF238)/SUM($AD236:$BG236)),IF(SUM($AD238:BF238)&gt;=$AD236," ",AI9-(SUM($AD238:BF238)/(SUM($AD236:$BG236))))))</f>
        <v xml:space="preserve"> </v>
      </c>
      <c r="BG239" s="44" t="str">
        <f ca="1">IF(BG9&gt;WEEKNUM(TODAY())," ", IF(AND(BG10="x",SUM($AD238:BG238)&gt;$AD236),AJ9-(SUM($AD238:BG238)/SUM($AD236:$BG236)),IF(SUM($AD238:BG238)&gt;=$AD236," ",AJ9-(SUM($AD238:BG238)/(SUM($AD236:$BG236))))))</f>
        <v xml:space="preserve"> </v>
      </c>
      <c r="BH239" s="21"/>
    </row>
    <row r="240" spans="2:60" ht="16.2" thickBot="1" x14ac:dyDescent="0.35">
      <c r="B240" s="70"/>
      <c r="C240" s="79"/>
      <c r="D240" s="84"/>
      <c r="E240" s="57"/>
      <c r="F240" s="117"/>
      <c r="H240" s="49" t="str">
        <f>IF(H236= " ", " ",IF(H238&gt;SUM($H236:$BG236), " N/A", IF(SUM($H238:$BG238)=SUM($H236:BG236), " ", IF(H238=SUM($H236:BG236), " ", "x"))))</f>
        <v>x</v>
      </c>
      <c r="I240" s="50" t="str">
        <f>IF(SUM($H238:I238) &gt; SUM($H236:I236),  " N/A", IF(SUM($H238:$BG238) = SUM($H236:$BH236),    " ",IF(I238 = SUM($H236:$BH236),  " ",   "x")))</f>
        <v>x</v>
      </c>
      <c r="J240" s="50" t="str">
        <f>IF(SUM($H238:J238) &gt; SUM($H236:J236),  " N/A", IF(SUM($H238:$BG238) = SUM($H236:$BH236),    " ",IF(J238 = SUM($H236:$BH236),  " ",   "x")))</f>
        <v>x</v>
      </c>
      <c r="K240" s="50" t="str">
        <f>IF(SUM($H238:K238) &gt; SUM($H236:K236),  " N/A", IF(SUM($H238:$BG238) = SUM($H236:$BH236),    " ",IF(K238 = SUM($H236:$BH236),  " ",   "x")))</f>
        <v>x</v>
      </c>
      <c r="L240" s="50" t="str">
        <f>IF(SUM($H238:L238) &gt; SUM($H236:L236),  " N/A", IF(SUM($H238:$BG238) = SUM($H236:$BH236),    " ",IF(L238 = SUM($H236:$BH236),  " ",   "x")))</f>
        <v>x</v>
      </c>
      <c r="M240" s="50" t="str">
        <f>IF(SUM($H238:M238) &gt; SUM($H236:M236),  " N/A", IF(SUM($H238:$BG238) = SUM($H236:$BH236),    " ",IF(M238 = SUM($H236:$BH236),  " ",   "x")))</f>
        <v>x</v>
      </c>
      <c r="N240" s="50" t="str">
        <f>IF(SUM($H238:N238) &gt; SUM($H236:N236),  " N/A", IF(SUM($H238:$BG238) = SUM($H236:$BH236),    " ",IF(N238 = SUM($H236:$BH236),  " ",   "x")))</f>
        <v>x</v>
      </c>
      <c r="O240" s="50" t="str">
        <f>IF(SUM($H238:O238) &gt; SUM($H236:O236),  " N/A", IF(SUM($H238:$BG238) = SUM($H236:$BH236),    " ",IF(O238 = SUM($H236:$BH236),  " ",   "x")))</f>
        <v>x</v>
      </c>
      <c r="P240" s="50" t="str">
        <f>IF(SUM($H238:P238) &gt; SUM($H236:P236),  " N/A", IF(SUM($H238:$BG238) = SUM($H236:$BH236),    " ",IF(P238 = SUM($H236:$BH236),  " ",   "x")))</f>
        <v>x</v>
      </c>
      <c r="Q240" s="50" t="str">
        <f>IF(SUM($H238:Q238) &gt; SUM($H236:Q236),  " N/A", IF(SUM($H238:$BG238) = SUM($H236:$BH236),    " ",IF(Q238 = SUM($H236:$BH236),  " ",   "x")))</f>
        <v>x</v>
      </c>
      <c r="R240" s="50" t="str">
        <f>IF(SUM($H238:R238) &gt; SUM($H236:R236),  " N/A", IF(SUM($H238:$BG238) = SUM($H236:$BH236),    " ",IF(R238 = SUM($H236:$BH236),  " ",   "x")))</f>
        <v>x</v>
      </c>
      <c r="S240" s="50" t="str">
        <f>IF(SUM($H238:S238) &gt; SUM($H236:S236),  " N/A", IF(SUM($H238:$BG238) = SUM($H236:$BH236),    " ",IF(S238 = SUM($H236:$BH236),  " ",   "x")))</f>
        <v>x</v>
      </c>
      <c r="T240" s="50" t="str">
        <f>IF(SUM($H238:T238) &gt; SUM($H236:T236),  " N/A", IF(SUM($H238:$BG238) = SUM($H236:$BH236),    " ",IF(T238 = SUM($H236:$BH236),  " ",   "x")))</f>
        <v>x</v>
      </c>
      <c r="U240" s="50" t="str">
        <f>IF(SUM($H238:U238) &gt; SUM($H236:U236),  " N/A", IF(SUM($H238:$BG238) = SUM($H236:$BH236),    " ",IF(U238 = SUM($H236:$BH236),  " ",   "x")))</f>
        <v>x</v>
      </c>
      <c r="V240" s="50" t="str">
        <f>IF(SUM($H238:V238) &gt; SUM($H236:V236),  " N/A", IF(SUM($H238:$BG238) = SUM($H236:$BH236),    " ",IF(V238 = SUM($H236:$BH236),  " ",   "x")))</f>
        <v>x</v>
      </c>
      <c r="W240" s="50" t="str">
        <f>IF(SUM($H238:W238) &gt; SUM($H236:W236),  " N/A", IF(SUM($H238:$BG238) = SUM($H236:$BH236),    " ",IF(W238 = SUM($H236:$BH236),  " ",   "x")))</f>
        <v>x</v>
      </c>
      <c r="X240" s="50" t="str">
        <f>IF(SUM($H238:X238) &gt; SUM($H236:X236),  " N/A", IF(SUM($H238:$BG238) = SUM($H236:$BH236),    " ",IF(X238 = SUM($H236:$BH236),  " ",   "x")))</f>
        <v>x</v>
      </c>
      <c r="Y240" s="50" t="str">
        <f>IF(SUM($H238:Y238) &gt; SUM($H236:Y236),  " N/A", IF(SUM($H238:$BG238) = SUM($H236:$BH236),    " ",IF(Y238 = SUM($H236:$BH236),  " ",   "x")))</f>
        <v>x</v>
      </c>
      <c r="Z240" s="50" t="str">
        <f>IF(SUM($H238:Z238) &gt; SUM($H236:Z236),  " N/A", IF(SUM($H238:$BG238) = SUM($H236:$BH236),    " ",IF(Z238 = SUM($H236:$BH236),  " ",   "x")))</f>
        <v>x</v>
      </c>
      <c r="AA240" s="50" t="str">
        <f>IF(SUM($H238:AA238) &gt; SUM($H236:AA236),  " N/A", IF(SUM($H238:$BG238) = SUM($H236:$BH236),    " ",IF(AA238 = SUM($H236:$BH236),  " ",   "x")))</f>
        <v>x</v>
      </c>
      <c r="AB240" s="50" t="str">
        <f>IF(SUM($H238:AB238) &gt; SUM($H236:AB236),  " N/A", IF(SUM($H238:$BG238) = SUM($H236:$BH236),    " ",IF(AB238 = SUM($H236:$BH236),  " ",   "x")))</f>
        <v>x</v>
      </c>
      <c r="AC240" s="50" t="str">
        <f>IF(SUM($H238:AC238) &gt; SUM($H236:AC236),  " N/A", IF(SUM($H238:$BG238) = SUM($H236:$BH236),    " ",IF(AC238 = SUM($H236:$BH236),  " ",   "x")))</f>
        <v>x</v>
      </c>
      <c r="AD240" s="50" t="str">
        <f>IF(SUM($H238:AD238) &gt; SUM($H236:AD236),  " N/A", IF(SUM($H238:$BG238) = SUM($H236:$BH236),    " ",IF(AD238 = SUM($H236:$BH236),  " ",   "x")))</f>
        <v>x</v>
      </c>
      <c r="AE240" s="50" t="str">
        <f>IF(SUM($H238:AE238) &gt; SUM($H236:AE236),  " N/A", IF(SUM($H238:$BG238) = SUM($H236:$BH236),    " ",IF(AE238 = SUM($H236:$BH236),  " ",   "x")))</f>
        <v>x</v>
      </c>
      <c r="AF240" s="50" t="str">
        <f>IF(SUM($H238:AF238) &gt; SUM($H236:AF236),  " N/A", IF(SUM($H238:$BG238) = SUM($H236:$BH236),    " ",IF(AF238 = SUM($H236:$BH236),  " ",   "x")))</f>
        <v>x</v>
      </c>
      <c r="AG240" s="50" t="str">
        <f>IF(SUM($H238:AG238) &gt; SUM($H236:AG236),  " N/A", IF(SUM($H238:$BG238) = SUM($H236:$BH236),    " ",IF(AG238 = SUM($H236:$BH236),  " ",   "x")))</f>
        <v>x</v>
      </c>
      <c r="AH240" s="50" t="str">
        <f>IF(SUM($H238:AH238) &gt; SUM($H236:AH236),  " N/A", IF(SUM($H238:$BG238) = SUM($H236:$BH236),    " ",IF(AH238 = SUM($H236:$BH236),  " ",   "x")))</f>
        <v>x</v>
      </c>
      <c r="AI240" s="50" t="str">
        <f>IF(SUM($H238:AI238) &gt; SUM($H236:AI236),  " N/A", IF(SUM($H238:$BG238) = SUM($H236:$BH236),    " ",IF(AI238 = SUM($H236:$BH236),  " ",   "x")))</f>
        <v>x</v>
      </c>
      <c r="AJ240" s="50" t="str">
        <f>IF(SUM($H238:AJ238) &gt; SUM($H236:AJ236),  " N/A", IF(SUM($H238:$BG238) = SUM($H236:$BH236),    " ",IF(AJ238 = SUM($H236:$BH236),  " ",   "x")))</f>
        <v>x</v>
      </c>
      <c r="AK240" s="50" t="str">
        <f>IF(SUM($H238:AK238) &gt; SUM($H236:AK236),  " N/A", IF(SUM($H238:$BG238) = SUM($H236:$BH236),    " ",IF(AK238 = SUM($H236:$BH236),  " ",   "x")))</f>
        <v>x</v>
      </c>
      <c r="AL240" s="50" t="str">
        <f>IF(SUM($H238:AL238) &gt; SUM($H236:AL236),  " N/A", IF(SUM($H238:$BG238) = SUM($H236:$BH236),    " ",IF(AL238 = SUM($H236:$BH236),  " ",   "x")))</f>
        <v>x</v>
      </c>
      <c r="AM240" s="50" t="str">
        <f>IF(SUM($H238:AM238) &gt; SUM($H236:AM236),  " N/A", IF(SUM($H238:$BG238) = SUM($H236:$BH236),    " ",IF(AM238 = SUM($H236:$BH236),  " ",   "x")))</f>
        <v>x</v>
      </c>
      <c r="AN240" s="50" t="str">
        <f>IF(SUM($H238:AN238) &gt; SUM($H236:AN236),  " N/A", IF(SUM($H238:$BG238) = SUM($H236:$BH236),    " ",IF(AN238 = SUM($H236:$BH236),  " ",   "x")))</f>
        <v>x</v>
      </c>
      <c r="AO240" s="50" t="str">
        <f>IF(SUM($H238:AO238) &gt; SUM($H236:AO236),  " N/A", IF(SUM($H238:$BG238) = SUM($H236:$BH236),    " ",IF(AO238 = SUM($H236:$BH236),  " ",   "x")))</f>
        <v>x</v>
      </c>
      <c r="AP240" s="50" t="str">
        <f>IF(SUM($H238:AP238) &gt; SUM($H236:AP236),  " N/A", IF(SUM($H238:$BG238) = SUM($H236:$BH236),    " ",IF(AP238 = SUM($H236:$BH236),  " ",   "x")))</f>
        <v>x</v>
      </c>
      <c r="AQ240" s="50" t="str">
        <f>IF(SUM($H238:AQ238) &gt; SUM($H236:AQ236),  " N/A", IF(SUM($H238:$BG238) = SUM($H236:$BH236),    " ",IF(AQ238 = SUM($H236:$BH236),  " ",   "x")))</f>
        <v>x</v>
      </c>
      <c r="AR240" s="50" t="str">
        <f>IF(SUM($H238:AR238) &gt; SUM($H236:AR236),  " N/A", IF(SUM($H238:$BG238) = SUM($H236:$BH236),    " ",IF(AR238 = SUM($H236:$BH236),  " ",   "x")))</f>
        <v>x</v>
      </c>
      <c r="AS240" s="50" t="str">
        <f>IF(SUM($H238:AS238) &gt; SUM($H236:AS236),  " N/A", IF(SUM($H238:$BG238) = SUM($H236:$BH236),    " ",IF(AS238 = SUM($H236:$BH236),  " ",   "x")))</f>
        <v>x</v>
      </c>
      <c r="AT240" s="50" t="str">
        <f>IF(SUM($H238:AT238) &gt; SUM($H236:AT236),  " N/A", IF(SUM($H238:$BG238) = SUM($H236:$BH236),    " ",IF(AT238 = SUM($H236:$BH236),  " ",   "x")))</f>
        <v>x</v>
      </c>
      <c r="AU240" s="50" t="str">
        <f>IF(SUM($H238:AU238) &gt; SUM($H236:AU236),  " N/A", IF(SUM($H238:$BG238) = SUM($H236:$BH236),    " ",IF(AU238 = SUM($H236:$BH236),  " ",   "x")))</f>
        <v>x</v>
      </c>
      <c r="AV240" s="50" t="str">
        <f>IF(SUM($H238:AV238) &gt; SUM($H236:AV236),  " N/A", IF(SUM($H238:$BG238) = SUM($H236:$BH236),    " ",IF(AV238 = SUM($H236:$BH236),  " ",   "x")))</f>
        <v>x</v>
      </c>
      <c r="AW240" s="50" t="str">
        <f>IF(SUM($H238:AW238) &gt; SUM($H236:AW236),  " N/A", IF(SUM($H238:$BG238) = SUM($H236:$BH236),    " ",IF(AW238 = SUM($H236:$BH236),  " ",   "x")))</f>
        <v>x</v>
      </c>
      <c r="AX240" s="50" t="str">
        <f>IF(SUM($H238:AX238) &gt; SUM($H236:AX236),  " N/A", IF(SUM($H238:$BG238) = SUM($H236:$BH236),    " ",IF(AX238 = SUM($H236:$BH236),  " ",   "x")))</f>
        <v>x</v>
      </c>
      <c r="AY240" s="50" t="str">
        <f>IF(SUM($H238:AY238) &gt; SUM($H236:AY236),  " N/A", IF(SUM($H238:$BG238) = SUM($H236:$BH236),    " ",IF(AY238 = SUM($H236:$BH236),  " ",   "x")))</f>
        <v>x</v>
      </c>
      <c r="AZ240" s="50" t="str">
        <f>IF(SUM($H238:AZ238) &gt; SUM($H236:AZ236),  " N/A", IF(SUM($H238:$BG238) = SUM($H236:$BH236),    " ",IF(AZ238 = SUM($H236:$BH236),  " ",   "x")))</f>
        <v>x</v>
      </c>
      <c r="BA240" s="50" t="str">
        <f>IF(SUM($H238:BA238) &gt; SUM($H236:BA236),  " N/A", IF(SUM($H238:$BG238) = SUM($H236:$BH236),    " ",IF(BA238 = SUM($H236:$BH236),  " ",   "x")))</f>
        <v>x</v>
      </c>
      <c r="BB240" s="50" t="str">
        <f>IF(SUM($H238:BB238) &gt; SUM($H236:BB236),  " N/A", IF(SUM($H238:$BG238) = SUM($H236:$BH236),    " ",IF(BB238 = SUM($H236:$BH236),  " ",   "x")))</f>
        <v>x</v>
      </c>
      <c r="BC240" s="50" t="str">
        <f>IF(SUM($H238:BC238) &gt; SUM($H236:BC236),  " N/A", IF(SUM($H238:$BG238) = SUM($H236:$BH236),    " ",IF(BC238 = SUM($H236:$BH236),  " ",   "x")))</f>
        <v>x</v>
      </c>
      <c r="BD240" s="50" t="str">
        <f>IF(SUM($H238:BD238) &gt; SUM($H236:BD236),  " N/A", IF(SUM($H238:$BG238) = SUM($H236:$BH236),    " ",IF(BD238 = SUM($H236:$BH236),  " ",   "x")))</f>
        <v>x</v>
      </c>
      <c r="BE240" s="50" t="str">
        <f>IF(SUM($H238:BE238) &gt; SUM($H236:BE236),  " N/A", IF(SUM($H238:$BG238) = SUM($H236:$BH236),    " ",IF(BE238 = SUM($H236:$BH236),  " ",   "x")))</f>
        <v>x</v>
      </c>
      <c r="BF240" s="50" t="str">
        <f>IF(SUM($H238:BF238) &gt; SUM($H236:BF236),  " N/A", IF(SUM($H238:$BG238) = SUM($H236:$BH236),    " ",IF(BF238 = SUM($H236:$BH236),  " ",   "x")))</f>
        <v>x</v>
      </c>
      <c r="BG240" s="50" t="str">
        <f>IF(SUM($H238:BG238) &gt; SUM($H236:BG236),  " N/A", IF(SUM($H238:$BG238) = SUM($H236:$BH236),    " ",IF(BG238 = SUM($H236:$BH236),  " ",   "x")))</f>
        <v>x</v>
      </c>
      <c r="BH240" s="21"/>
    </row>
    <row r="241" spans="2:60" ht="15.6" x14ac:dyDescent="0.3">
      <c r="B241" s="71"/>
      <c r="C241" s="77"/>
      <c r="D241" s="82" t="s">
        <v>249</v>
      </c>
      <c r="E241" s="54">
        <f>SUM(H241:BG241)</f>
        <v>16</v>
      </c>
      <c r="F241" s="115">
        <f>Gant_24!$E241-E243</f>
        <v>0</v>
      </c>
      <c r="H241" s="41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>
        <v>16</v>
      </c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42"/>
      <c r="BB241" s="42"/>
      <c r="BC241" s="42"/>
      <c r="BD241" s="42"/>
      <c r="BE241" s="42"/>
      <c r="BF241" s="42"/>
      <c r="BG241" s="42"/>
      <c r="BH241" s="21"/>
    </row>
    <row r="242" spans="2:60" ht="15.6" x14ac:dyDescent="0.3">
      <c r="B242" s="68"/>
      <c r="C242" s="78"/>
      <c r="D242" s="83" t="s">
        <v>261</v>
      </c>
      <c r="E242" s="55">
        <f>SUM(H242:BG242)</f>
        <v>0</v>
      </c>
      <c r="F242" s="116"/>
      <c r="H242" s="43"/>
      <c r="I242" s="44"/>
      <c r="J242" s="44"/>
      <c r="K242" s="44"/>
      <c r="L242" s="44"/>
      <c r="M242" s="44"/>
      <c r="N242" s="44"/>
      <c r="O242" s="44"/>
      <c r="P242" s="44"/>
      <c r="Q242" s="44"/>
      <c r="R242" s="44"/>
      <c r="S242" s="44"/>
      <c r="T242" s="44"/>
      <c r="U242" s="44"/>
      <c r="V242" s="44"/>
      <c r="W242" s="44"/>
      <c r="X242" s="44"/>
      <c r="Y242" s="44"/>
      <c r="Z242" s="44"/>
      <c r="AA242" s="44"/>
      <c r="AB242" s="44"/>
      <c r="AC242" s="44"/>
      <c r="AD242" s="44"/>
      <c r="AE242" s="44"/>
      <c r="AF242" s="44"/>
      <c r="AG242" s="44"/>
      <c r="AH242" s="44"/>
      <c r="AI242" s="44"/>
      <c r="AJ242" s="44"/>
      <c r="AK242" s="44"/>
      <c r="AL242" s="44"/>
      <c r="AM242" s="44"/>
      <c r="AN242" s="44"/>
      <c r="AO242" s="44"/>
      <c r="AP242" s="44"/>
      <c r="AQ242" s="44"/>
      <c r="AR242" s="44"/>
      <c r="AS242" s="44"/>
      <c r="AT242" s="44"/>
      <c r="AU242" s="44"/>
      <c r="AV242" s="44"/>
      <c r="AW242" s="44"/>
      <c r="AX242" s="44"/>
      <c r="AY242" s="44"/>
      <c r="AZ242" s="44"/>
      <c r="BA242" s="44"/>
      <c r="BB242" s="44"/>
      <c r="BC242" s="44"/>
      <c r="BD242" s="44"/>
      <c r="BE242" s="44"/>
      <c r="BF242" s="44"/>
      <c r="BG242" s="44"/>
      <c r="BH242" s="21"/>
    </row>
    <row r="243" spans="2:60" ht="15.6" x14ac:dyDescent="0.3">
      <c r="B243" s="68" t="s">
        <v>197</v>
      </c>
      <c r="C243" s="78" t="s">
        <v>198</v>
      </c>
      <c r="D243" s="83" t="s">
        <v>241</v>
      </c>
      <c r="E243" s="55">
        <f>SUM(H243:BG243)</f>
        <v>16</v>
      </c>
      <c r="F243" s="116"/>
      <c r="H243" s="45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  <c r="AG243" s="46">
        <v>16</v>
      </c>
      <c r="AH243" s="46"/>
      <c r="AI243" s="46"/>
      <c r="AJ243" s="46"/>
      <c r="AK243" s="46"/>
      <c r="AL243" s="46"/>
      <c r="AM243" s="46"/>
      <c r="AN243" s="46"/>
      <c r="AO243" s="46"/>
      <c r="AP243" s="46"/>
      <c r="AQ243" s="46"/>
      <c r="AR243" s="46"/>
      <c r="AS243" s="46"/>
      <c r="AT243" s="46"/>
      <c r="AU243" s="46"/>
      <c r="AV243" s="46"/>
      <c r="AW243" s="46"/>
      <c r="AX243" s="46"/>
      <c r="AY243" s="46"/>
      <c r="AZ243" s="46"/>
      <c r="BA243" s="46"/>
      <c r="BB243" s="46"/>
      <c r="BC243" s="46"/>
      <c r="BD243" s="46"/>
      <c r="BE243" s="46"/>
      <c r="BF243" s="46"/>
      <c r="BG243" s="46"/>
      <c r="BH243" s="21"/>
    </row>
    <row r="244" spans="2:60" ht="15.6" x14ac:dyDescent="0.3">
      <c r="B244" s="68"/>
      <c r="C244" s="78"/>
      <c r="D244" s="83" t="s">
        <v>278</v>
      </c>
      <c r="E244" s="56">
        <f ca="1">MAX(H244:BG244)</f>
        <v>0</v>
      </c>
      <c r="F244" s="116"/>
      <c r="H244" s="47"/>
      <c r="I244" s="48"/>
      <c r="J244" s="48"/>
      <c r="K244" s="48"/>
      <c r="L244" s="44"/>
      <c r="M244" s="44"/>
      <c r="N244" s="44"/>
      <c r="O244" s="44"/>
      <c r="P244" s="44"/>
      <c r="Q244" s="44"/>
      <c r="R244" s="44"/>
      <c r="S244" s="44"/>
      <c r="T244" s="44"/>
      <c r="U244" s="44"/>
      <c r="V244" s="44"/>
      <c r="W244" s="44"/>
      <c r="X244" s="44"/>
      <c r="Y244" s="44"/>
      <c r="Z244" s="44"/>
      <c r="AA244" s="44"/>
      <c r="AB244" s="44"/>
      <c r="AC244" s="44"/>
      <c r="AD244" s="44"/>
      <c r="AE244" s="44" t="str">
        <f>IF(SUM(H236:BG236) = AE243, " 0 ", " ")</f>
        <v xml:space="preserve"> </v>
      </c>
      <c r="AF244" s="44" t="str">
        <f ca="1">IF(AF9&gt;WEEKNUM(TODAY())," ", IF(AND(AF10="x",SUM($AE243:AF243)&gt;$AE241),H9-(SUM($AE243:AF243)/SUM($AE241:$BG241)),IF(SUM($AE243:AF243)&gt;=$AE241," ",H9-(SUM($AE243:AF243)/(SUM($AE241:$BG241))))))</f>
        <v xml:space="preserve"> </v>
      </c>
      <c r="AG244" s="44" t="str">
        <f ca="1">IF(AG9&gt;WEEKNUM(TODAY())," ", IF(AND(AG10="x",SUM($AE243:AG243)&gt;$AE241),I9-(SUM($AE243:AG243)/SUM($AE241:$BG241)),IF(SUM($AE243:AG243)&gt;=$AE241," ",I9-(SUM($AE243:AG243)/(SUM($AE241:$BG241))))))</f>
        <v xml:space="preserve"> </v>
      </c>
      <c r="AH244" s="44" t="str">
        <f ca="1">IF(AH9&gt;WEEKNUM(TODAY())," ", IF(AND(AH10="x",SUM($AE243:AH243)&gt;$AE241),J9-(SUM($AE243:AH243)/SUM($AE241:$BG241)),IF(SUM($AE243:AH243)&gt;=$AE241," ",J9-(SUM($AE243:AH243)/(SUM($AE241:$BG241))))))</f>
        <v xml:space="preserve"> </v>
      </c>
      <c r="AI244" s="44" t="str">
        <f ca="1">IF(AI9&gt;WEEKNUM(TODAY())," ", IF(AND(AI10="x",SUM($AE243:AI243)&gt;$AE241),K9-(SUM($AE243:AI243)/SUM($AE241:$BG241)),IF(SUM($AE243:AI243)&gt;=$AE241," ",K9-(SUM($AE243:AI243)/(SUM($AE241:$BG241))))))</f>
        <v xml:space="preserve"> </v>
      </c>
      <c r="AJ244" s="44" t="str">
        <f ca="1">IF(AJ9&gt;WEEKNUM(TODAY())," ", IF(AND(AJ10="x",SUM($AE243:AJ243)&gt;$AE241),L9-(SUM($AE243:AJ243)/SUM($AE241:$BG241)),IF(SUM($AE243:AJ243)&gt;=$AE241," ",L9-(SUM($AE243:AJ243)/(SUM($AE241:$BG241))))))</f>
        <v xml:space="preserve"> </v>
      </c>
      <c r="AK244" s="44" t="str">
        <f ca="1">IF(AK9&gt;WEEKNUM(TODAY())," ", IF(AND(AK10="x",SUM($AE243:AK243)&gt;$AE241),M9-(SUM($AE243:AK243)/SUM($AE241:$BG241)),IF(SUM($AE243:AK243)&gt;=$AE241," ",M9-(SUM($AE243:AK243)/(SUM($AE241:$BG241))))))</f>
        <v xml:space="preserve"> </v>
      </c>
      <c r="AL244" s="44" t="str">
        <f ca="1">IF(AL9&gt;WEEKNUM(TODAY())," ", IF(AND(AL10="x",SUM($AE243:AL243)&gt;$AE241),N9-(SUM($AE243:AL243)/SUM($AE241:$BG241)),IF(SUM($AE243:AL243)&gt;=$AE241," ",N9-(SUM($AE243:AL243)/(SUM($AE241:$BG241))))))</f>
        <v xml:space="preserve"> </v>
      </c>
      <c r="AM244" s="44" t="str">
        <f ca="1">IF(AM9&gt;WEEKNUM(TODAY())," ", IF(AND(AM10="x",SUM($AE243:AM243)&gt;$AE241),O9-(SUM($AE243:AM243)/SUM($AE241:$BG241)),IF(SUM($AE243:AM243)&gt;=$AE241," ",O9-(SUM($AE243:AM243)/(SUM($AE241:$BG241))))))</f>
        <v xml:space="preserve"> </v>
      </c>
      <c r="AN244" s="44" t="str">
        <f ca="1">IF(AN9&gt;WEEKNUM(TODAY())," ", IF(AND(AN10="x",SUM($AE243:AN243)&gt;$AE241),P9-(SUM($AE243:AN243)/SUM($AE241:$BG241)),IF(SUM($AE243:AN243)&gt;=$AE241," ",P9-(SUM($AE243:AN243)/(SUM($AE241:$BG241))))))</f>
        <v xml:space="preserve"> </v>
      </c>
      <c r="AO244" s="44" t="str">
        <f ca="1">IF(AO9&gt;WEEKNUM(TODAY())," ", IF(AND(AO10="x",SUM($AE243:AO243)&gt;$AE241),Q9-(SUM($AE243:AO243)/SUM($AE241:$BG241)),IF(SUM($AE243:AO243)&gt;=$AE241," ",Q9-(SUM($AE243:AO243)/(SUM($AE241:$BG241))))))</f>
        <v xml:space="preserve"> </v>
      </c>
      <c r="AP244" s="44" t="str">
        <f ca="1">IF(AP9&gt;WEEKNUM(TODAY())," ", IF(AND(AP10="x",SUM($AE243:AP243)&gt;$AE241),R9-(SUM($AE243:AP243)/SUM($AE241:$BG241)),IF(SUM($AE243:AP243)&gt;=$AE241," ",R9-(SUM($AE243:AP243)/(SUM($AE241:$BG241))))))</f>
        <v xml:space="preserve"> </v>
      </c>
      <c r="AQ244" s="44" t="str">
        <f ca="1">IF(AQ9&gt;WEEKNUM(TODAY())," ", IF(AND(AQ10="x",SUM($AE243:AQ243)&gt;$AE241),S9-(SUM($AE243:AQ243)/SUM($AE241:$BG241)),IF(SUM($AE243:AQ243)&gt;=$AE241," ",S9-(SUM($AE243:AQ243)/(SUM($AE241:$BG241))))))</f>
        <v xml:space="preserve"> </v>
      </c>
      <c r="AR244" s="44" t="str">
        <f ca="1">IF(AR9&gt;WEEKNUM(TODAY())," ", IF(AND(AR10="x",SUM($AE243:AR243)&gt;$AE241),T9-(SUM($AE243:AR243)/SUM($AE241:$BG241)),IF(SUM($AE243:AR243)&gt;=$AE241," ",T9-(SUM($AE243:AR243)/(SUM($AE241:$BG241))))))</f>
        <v xml:space="preserve"> </v>
      </c>
      <c r="AS244" s="44" t="str">
        <f ca="1">IF(AS9&gt;WEEKNUM(TODAY())," ", IF(AND(AS10="x",SUM($AE243:AS243)&gt;$AE241),U9-(SUM($AE243:AS243)/SUM($AE241:$BG241)),IF(SUM($AE243:AS243)&gt;=$AE241," ",U9-(SUM($AE243:AS243)/(SUM($AE241:$BG241))))))</f>
        <v xml:space="preserve"> </v>
      </c>
      <c r="AT244" s="44" t="str">
        <f ca="1">IF(AT9&gt;WEEKNUM(TODAY())," ", IF(AND(AT10="x",SUM($AE243:AT243)&gt;$AE241),V9-(SUM($AE243:AT243)/SUM($AE241:$BG241)),IF(SUM($AE243:AT243)&gt;=$AE241," ",V9-(SUM($AE243:AT243)/(SUM($AE241:$BG241))))))</f>
        <v xml:space="preserve"> </v>
      </c>
      <c r="AU244" s="44" t="str">
        <f ca="1">IF(AU9&gt;WEEKNUM(TODAY())," ", IF(AND(AU10="x",SUM($AE243:AU243)&gt;$AE241),W9-(SUM($AE243:AU243)/SUM($AE241:$BG241)),IF(SUM($AE243:AU243)&gt;=$AE241," ",W9-(SUM($AE243:AU243)/(SUM($AE241:$BG241))))))</f>
        <v xml:space="preserve"> </v>
      </c>
      <c r="AV244" s="44" t="str">
        <f ca="1">IF(AV9&gt;WEEKNUM(TODAY())," ", IF(AND(AV10="x",SUM($AE243:AV243)&gt;$AE241),X9-(SUM($AE243:AV243)/SUM($AE241:$BG241)),IF(SUM($AE243:AV243)&gt;=$AE241," ",X9-(SUM($AE243:AV243)/(SUM($AE241:$BG241))))))</f>
        <v xml:space="preserve"> </v>
      </c>
      <c r="AW244" s="44" t="str">
        <f ca="1">IF(AW9&gt;WEEKNUM(TODAY())," ", IF(AND(AW10="x",SUM($AE243:AW243)&gt;$AE241),Y9-(SUM($AE243:AW243)/SUM($AE241:$BG241)),IF(SUM($AE243:AW243)&gt;=$AE241," ",Y9-(SUM($AE243:AW243)/(SUM($AE241:$BG241))))))</f>
        <v xml:space="preserve"> </v>
      </c>
      <c r="AX244" s="44" t="str">
        <f ca="1">IF(AX9&gt;WEEKNUM(TODAY())," ", IF(AND(AX10="x",SUM($AE243:AX243)&gt;$AE241),Z9-(SUM($AE243:AX243)/SUM($AE241:$BG241)),IF(SUM($AE243:AX243)&gt;=$AE241," ",Z9-(SUM($AE243:AX243)/(SUM($AE241:$BG241))))))</f>
        <v xml:space="preserve"> </v>
      </c>
      <c r="AY244" s="44" t="str">
        <f ca="1">IF(AY9&gt;WEEKNUM(TODAY())," ", IF(AND(AY10="x",SUM($AE243:AY243)&gt;$AE241),AA9-(SUM($AE243:AY243)/SUM($AE241:$BG241)),IF(SUM($AE243:AY243)&gt;=$AE241," ",AA9-(SUM($AE243:AY243)/(SUM($AE241:$BG241))))))</f>
        <v xml:space="preserve"> </v>
      </c>
      <c r="AZ244" s="44" t="str">
        <f ca="1">IF(AZ9&gt;WEEKNUM(TODAY())," ", IF(AND(AZ10="x",SUM($AE243:AZ243)&gt;$AE241),AB9-(SUM($AE243:AZ243)/SUM($AE241:$BG241)),IF(SUM($AE243:AZ243)&gt;=$AE241," ",AB9-(SUM($AE243:AZ243)/(SUM($AE241:$BG241))))))</f>
        <v xml:space="preserve"> </v>
      </c>
      <c r="BA244" s="44" t="str">
        <f ca="1">IF(BA9&gt;WEEKNUM(TODAY())," ", IF(AND(BA10="x",SUM($AE243:BA243)&gt;$AE241),AC9-(SUM($AE243:BA243)/SUM($AE241:$BG241)),IF(SUM($AE243:BA243)&gt;=$AE241," ",AC9-(SUM($AE243:BA243)/(SUM($AE241:$BG241))))))</f>
        <v xml:space="preserve"> </v>
      </c>
      <c r="BB244" s="44" t="str">
        <f ca="1">IF(BB9&gt;WEEKNUM(TODAY())," ", IF(AND(BB10="x",SUM($AE243:BB243)&gt;$AE241),AD9-(SUM($AE243:BB243)/SUM($AE241:$BG241)),IF(SUM($AE243:BB243)&gt;=$AE241," ",AD9-(SUM($AE243:BB243)/(SUM($AE241:$BG241))))))</f>
        <v xml:space="preserve"> </v>
      </c>
      <c r="BC244" s="44" t="str">
        <f ca="1">IF(BC9&gt;WEEKNUM(TODAY())," ", IF(AND(BC10="x",SUM($AE243:BC243)&gt;$AE241),AE9-(SUM($AE243:BC243)/SUM($AE241:$BG241)),IF(SUM($AE243:BC243)&gt;=$AE241," ",AE9-(SUM($AE243:BC243)/(SUM($AE241:$BG241))))))</f>
        <v xml:space="preserve"> </v>
      </c>
      <c r="BD244" s="44" t="str">
        <f ca="1">IF(BD9&gt;WEEKNUM(TODAY())," ", IF(AND(BD10="x",SUM($AE243:BD243)&gt;$AE241),AF9-(SUM($AE243:BD243)/SUM($AE241:$BG241)),IF(SUM($AE243:BD243)&gt;=$AE241," ",AF9-(SUM($AE243:BD243)/(SUM($AE241:$BG241))))))</f>
        <v xml:space="preserve"> </v>
      </c>
      <c r="BE244" s="44" t="str">
        <f ca="1">IF(BE9&gt;WEEKNUM(TODAY())," ", IF(AND(BE10="x",SUM($AE243:BE243)&gt;$AE241),AG9-(SUM($AE243:BE243)/SUM($AE241:$BG241)),IF(SUM($AE243:BE243)&gt;=$AE241," ",AG9-(SUM($AE243:BE243)/(SUM($AE241:$BG241))))))</f>
        <v xml:space="preserve"> </v>
      </c>
      <c r="BF244" s="44" t="str">
        <f ca="1">IF(BF9&gt;WEEKNUM(TODAY())," ", IF(AND(BF10="x",SUM($AE243:BF243)&gt;$AE241),AH9-(SUM($AE243:BF243)/SUM($AE241:$BG241)),IF(SUM($AE243:BF243)&gt;=$AE241," ",AH9-(SUM($AE243:BF243)/(SUM($AE241:$BG241))))))</f>
        <v xml:space="preserve"> </v>
      </c>
      <c r="BG244" s="44" t="str">
        <f ca="1">IF(BG9&gt;WEEKNUM(TODAY())," ", IF(AND(BG10="x",SUM($AE243:BG243)&gt;$AE241),AI9-(SUM($AE243:BG243)/SUM($AE241:$BG241)),IF(SUM($AE243:BG243)&gt;=$AE241," ",AI9-(SUM($AE243:BG243)/(SUM($AE241:$BG241))))))</f>
        <v xml:space="preserve"> </v>
      </c>
      <c r="BH244" s="21"/>
    </row>
    <row r="245" spans="2:60" ht="16.2" thickBot="1" x14ac:dyDescent="0.35">
      <c r="B245" s="70"/>
      <c r="C245" s="79"/>
      <c r="D245" s="84"/>
      <c r="E245" s="57"/>
      <c r="F245" s="117"/>
      <c r="H245" s="49" t="str">
        <f>IF(H241= " ", " ",IF(H243&gt;SUM($H241:$BG241), " N/A", IF(SUM($H243:$BG243)=SUM($H241:BG241), " ", IF(H243=SUM($H241:BG241), " ", "x"))))</f>
        <v xml:space="preserve"> </v>
      </c>
      <c r="I245" s="50" t="str">
        <f>IF(SUM($H243:I243) &gt; SUM($H241:I241),  " N/A", IF(SUM($H243:$BG243) = SUM($H241:$BH241),    " ",IF(I243 = SUM($H241:$BH241),  " ",   "x")))</f>
        <v xml:space="preserve"> </v>
      </c>
      <c r="J245" s="50" t="str">
        <f>IF(SUM($H243:J243) &gt; SUM($H241:J241),  " N/A", IF(SUM($H243:$BG243) = SUM($H241:$BH241),    " ",IF(J243 = SUM($H241:$BH241),  " ",   "x")))</f>
        <v xml:space="preserve"> </v>
      </c>
      <c r="K245" s="50" t="str">
        <f>IF(SUM($H243:K243) &gt; SUM($H241:K241),  " N/A", IF(SUM($H243:$BG243) = SUM($H241:$BH241),    " ",IF(K243 = SUM($H241:$BH241),  " ",   "x")))</f>
        <v xml:space="preserve"> </v>
      </c>
      <c r="L245" s="50" t="str">
        <f>IF(SUM($H243:L243) &gt; SUM($H241:L241),  " N/A", IF(SUM($H243:$BG243) = SUM($H241:$BH241),    " ",IF(L243 = SUM($H241:$BH241),  " ",   "x")))</f>
        <v xml:space="preserve"> </v>
      </c>
      <c r="M245" s="50" t="str">
        <f>IF(SUM($H243:M243) &gt; SUM($H241:M241),  " N/A", IF(SUM($H243:$BG243) = SUM($H241:$BH241),    " ",IF(M243 = SUM($H241:$BH241),  " ",   "x")))</f>
        <v xml:space="preserve"> </v>
      </c>
      <c r="N245" s="50" t="str">
        <f>IF(SUM($H243:N243) &gt; SUM($H241:N241),  " N/A", IF(SUM($H243:$BG243) = SUM($H241:$BH241),    " ",IF(N243 = SUM($H241:$BH241),  " ",   "x")))</f>
        <v xml:space="preserve"> </v>
      </c>
      <c r="O245" s="50" t="str">
        <f>IF(SUM($H243:O243) &gt; SUM($H241:O241),  " N/A", IF(SUM($H243:$BG243) = SUM($H241:$BH241),    " ",IF(O243 = SUM($H241:$BH241),  " ",   "x")))</f>
        <v xml:space="preserve"> </v>
      </c>
      <c r="P245" s="50" t="str">
        <f>IF(SUM($H243:P243) &gt; SUM($H241:P241),  " N/A", IF(SUM($H243:$BG243) = SUM($H241:$BH241),    " ",IF(P243 = SUM($H241:$BH241),  " ",   "x")))</f>
        <v xml:space="preserve"> </v>
      </c>
      <c r="Q245" s="50" t="str">
        <f>IF(SUM($H243:Q243) &gt; SUM($H241:Q241),  " N/A", IF(SUM($H243:$BG243) = SUM($H241:$BH241),    " ",IF(Q243 = SUM($H241:$BH241),  " ",   "x")))</f>
        <v xml:space="preserve"> </v>
      </c>
      <c r="R245" s="50" t="str">
        <f>IF(SUM($H243:R243) &gt; SUM($H241:R241),  " N/A", IF(SUM($H243:$BG243) = SUM($H241:$BH241),    " ",IF(R243 = SUM($H241:$BH241),  " ",   "x")))</f>
        <v xml:space="preserve"> </v>
      </c>
      <c r="S245" s="50" t="str">
        <f>IF(SUM($H243:S243) &gt; SUM($H241:S241),  " N/A", IF(SUM($H243:$BG243) = SUM($H241:$BH241),    " ",IF(S243 = SUM($H241:$BH241),  " ",   "x")))</f>
        <v xml:space="preserve"> </v>
      </c>
      <c r="T245" s="50" t="str">
        <f>IF(SUM($H243:T243) &gt; SUM($H241:T241),  " N/A", IF(SUM($H243:$BG243) = SUM($H241:$BH241),    " ",IF(T243 = SUM($H241:$BH241),  " ",   "x")))</f>
        <v xml:space="preserve"> </v>
      </c>
      <c r="U245" s="50" t="str">
        <f>IF(SUM($H243:U243) &gt; SUM($H241:U241),  " N/A", IF(SUM($H243:$BG243) = SUM($H241:$BH241),    " ",IF(U243 = SUM($H241:$BH241),  " ",   "x")))</f>
        <v xml:space="preserve"> </v>
      </c>
      <c r="V245" s="50" t="str">
        <f>IF(SUM($H243:V243) &gt; SUM($H241:V241),  " N/A", IF(SUM($H243:$BG243) = SUM($H241:$BH241),    " ",IF(V243 = SUM($H241:$BH241),  " ",   "x")))</f>
        <v xml:space="preserve"> </v>
      </c>
      <c r="W245" s="50" t="str">
        <f>IF(SUM($H243:W243) &gt; SUM($H241:W241),  " N/A", IF(SUM($H243:$BG243) = SUM($H241:$BH241),    " ",IF(W243 = SUM($H241:$BH241),  " ",   "x")))</f>
        <v xml:space="preserve"> </v>
      </c>
      <c r="X245" s="50" t="str">
        <f>IF(SUM($H243:X243) &gt; SUM($H241:X241),  " N/A", IF(SUM($H243:$BG243) = SUM($H241:$BH241),    " ",IF(X243 = SUM($H241:$BH241),  " ",   "x")))</f>
        <v xml:space="preserve"> </v>
      </c>
      <c r="Y245" s="50" t="str">
        <f>IF(SUM($H243:Y243) &gt; SUM($H241:Y241),  " N/A", IF(SUM($H243:$BG243) = SUM($H241:$BH241),    " ",IF(Y243 = SUM($H241:$BH241),  " ",   "x")))</f>
        <v xml:space="preserve"> </v>
      </c>
      <c r="Z245" s="50" t="str">
        <f>IF(SUM($H243:Z243) &gt; SUM($H241:Z241),  " N/A", IF(SUM($H243:$BG243) = SUM($H241:$BH241),    " ",IF(Z243 = SUM($H241:$BH241),  " ",   "x")))</f>
        <v xml:space="preserve"> </v>
      </c>
      <c r="AA245" s="50" t="str">
        <f>IF(SUM($H243:AA243) &gt; SUM($H241:AA241),  " N/A", IF(SUM($H243:$BG243) = SUM($H241:$BH241),    " ",IF(AA243 = SUM($H241:$BH241),  " ",   "x")))</f>
        <v xml:space="preserve"> </v>
      </c>
      <c r="AB245" s="50" t="str">
        <f>IF(SUM($H243:AB243) &gt; SUM($H241:AB241),  " N/A", IF(SUM($H243:$BG243) = SUM($H241:$BH241),    " ",IF(AB243 = SUM($H241:$BH241),  " ",   "x")))</f>
        <v xml:space="preserve"> </v>
      </c>
      <c r="AC245" s="50" t="str">
        <f>IF(SUM($H243:AC243) &gt; SUM($H241:AC241),  " N/A", IF(SUM($H243:$BG243) = SUM($H241:$BH241),    " ",IF(AC243 = SUM($H241:$BH241),  " ",   "x")))</f>
        <v xml:space="preserve"> </v>
      </c>
      <c r="AD245" s="50" t="str">
        <f>IF(SUM($H243:AD243) &gt; SUM($H241:AD241),  " N/A", IF(SUM($H243:$BG243) = SUM($H241:$BH241),    " ",IF(AD243 = SUM($H241:$BH241),  " ",   "x")))</f>
        <v xml:space="preserve"> </v>
      </c>
      <c r="AE245" s="50" t="str">
        <f>IF(SUM($H243:AE243) &gt; SUM($H241:AE241),  " N/A", IF(SUM($H243:$BG243) = SUM($H241:$BH241),    " ",IF(AE243 = SUM($H241:$BH241),  " ",   "x")))</f>
        <v xml:space="preserve"> </v>
      </c>
      <c r="AF245" s="50" t="str">
        <f>IF(SUM($H243:AF243) &gt; SUM($H241:AF241),  " N/A", IF(SUM($H243:$BG243) = SUM($H241:$BH241),    " ",IF(AF243 = SUM($H241:$BH241),  " ",   "x")))</f>
        <v xml:space="preserve"> </v>
      </c>
      <c r="AG245" s="50" t="str">
        <f>IF(SUM($H243:AG243) &gt; SUM($H241:AG241),  " N/A", IF(SUM($H243:$BG243) = SUM($H241:$BH241),    " ",IF(AG243 = SUM($H241:$BH241),  " ",   "x")))</f>
        <v xml:space="preserve"> </v>
      </c>
      <c r="AH245" s="50" t="str">
        <f>IF(SUM($H243:AH243) &gt; SUM($H241:AH241),  " N/A", IF(SUM($H243:$BG243) = SUM($H241:$BH241),    " ",IF(AH243 = SUM($H241:$BH241),  " ",   "x")))</f>
        <v xml:space="preserve"> </v>
      </c>
      <c r="AI245" s="50" t="str">
        <f>IF(SUM($H243:AI243) &gt; SUM($H241:AI241),  " N/A", IF(SUM($H243:$BG243) = SUM($H241:$BH241),    " ",IF(AI243 = SUM($H241:$BH241),  " ",   "x")))</f>
        <v xml:space="preserve"> </v>
      </c>
      <c r="AJ245" s="50" t="str">
        <f>IF(SUM($H243:AJ243) &gt; SUM($H241:AJ241),  " N/A", IF(SUM($H243:$BG243) = SUM($H241:$BH241),    " ",IF(AJ243 = SUM($H241:$BH241),  " ",   "x")))</f>
        <v xml:space="preserve"> </v>
      </c>
      <c r="AK245" s="50" t="str">
        <f>IF(SUM($H243:AK243) &gt; SUM($H241:AK241),  " N/A", IF(SUM($H243:$BG243) = SUM($H241:$BH241),    " ",IF(AK243 = SUM($H241:$BH241),  " ",   "x")))</f>
        <v xml:space="preserve"> </v>
      </c>
      <c r="AL245" s="50" t="str">
        <f>IF(SUM($H243:AL243) &gt; SUM($H241:AL241),  " N/A", IF(SUM($H243:$BG243) = SUM($H241:$BH241),    " ",IF(AL243 = SUM($H241:$BH241),  " ",   "x")))</f>
        <v xml:space="preserve"> </v>
      </c>
      <c r="AM245" s="50" t="str">
        <f>IF(SUM($H243:AM243) &gt; SUM($H241:AM241),  " N/A", IF(SUM($H243:$BG243) = SUM($H241:$BH241),    " ",IF(AM243 = SUM($H241:$BH241),  " ",   "x")))</f>
        <v xml:space="preserve"> </v>
      </c>
      <c r="AN245" s="50" t="str">
        <f>IF(SUM($H243:AN243) &gt; SUM($H241:AN241),  " N/A", IF(SUM($H243:$BG243) = SUM($H241:$BH241),    " ",IF(AN243 = SUM($H241:$BH241),  " ",   "x")))</f>
        <v xml:space="preserve"> </v>
      </c>
      <c r="AO245" s="50" t="str">
        <f>IF(SUM($H243:AO243) &gt; SUM($H241:AO241),  " N/A", IF(SUM($H243:$BG243) = SUM($H241:$BH241),    " ",IF(AO243 = SUM($H241:$BH241),  " ",   "x")))</f>
        <v xml:space="preserve"> </v>
      </c>
      <c r="AP245" s="50" t="str">
        <f>IF(SUM($H243:AP243) &gt; SUM($H241:AP241),  " N/A", IF(SUM($H243:$BG243) = SUM($H241:$BH241),    " ",IF(AP243 = SUM($H241:$BH241),  " ",   "x")))</f>
        <v xml:space="preserve"> </v>
      </c>
      <c r="AQ245" s="50" t="str">
        <f>IF(SUM($H243:AQ243) &gt; SUM($H241:AQ241),  " N/A", IF(SUM($H243:$BG243) = SUM($H241:$BH241),    " ",IF(AQ243 = SUM($H241:$BH241),  " ",   "x")))</f>
        <v xml:space="preserve"> </v>
      </c>
      <c r="AR245" s="50" t="str">
        <f>IF(SUM($H243:AR243) &gt; SUM($H241:AR241),  " N/A", IF(SUM($H243:$BG243) = SUM($H241:$BH241),    " ",IF(AR243 = SUM($H241:$BH241),  " ",   "x")))</f>
        <v xml:space="preserve"> </v>
      </c>
      <c r="AS245" s="50" t="str">
        <f>IF(SUM($H243:AS243) &gt; SUM($H241:AS241),  " N/A", IF(SUM($H243:$BG243) = SUM($H241:$BH241),    " ",IF(AS243 = SUM($H241:$BH241),  " ",   "x")))</f>
        <v xml:space="preserve"> </v>
      </c>
      <c r="AT245" s="50" t="str">
        <f>IF(SUM($H243:AT243) &gt; SUM($H241:AT241),  " N/A", IF(SUM($H243:$BG243) = SUM($H241:$BH241),    " ",IF(AT243 = SUM($H241:$BH241),  " ",   "x")))</f>
        <v xml:space="preserve"> </v>
      </c>
      <c r="AU245" s="50" t="str">
        <f>IF(SUM($H243:AU243) &gt; SUM($H241:AU241),  " N/A", IF(SUM($H243:$BG243) = SUM($H241:$BH241),    " ",IF(AU243 = SUM($H241:$BH241),  " ",   "x")))</f>
        <v xml:space="preserve"> </v>
      </c>
      <c r="AV245" s="50" t="str">
        <f>IF(SUM($H243:AV243) &gt; SUM($H241:AV241),  " N/A", IF(SUM($H243:$BG243) = SUM($H241:$BH241),    " ",IF(AV243 = SUM($H241:$BH241),  " ",   "x")))</f>
        <v xml:space="preserve"> </v>
      </c>
      <c r="AW245" s="50" t="str">
        <f>IF(SUM($H243:AW243) &gt; SUM($H241:AW241),  " N/A", IF(SUM($H243:$BG243) = SUM($H241:$BH241),    " ",IF(AW243 = SUM($H241:$BH241),  " ",   "x")))</f>
        <v xml:space="preserve"> </v>
      </c>
      <c r="AX245" s="50" t="str">
        <f>IF(SUM($H243:AX243) &gt; SUM($H241:AX241),  " N/A", IF(SUM($H243:$BG243) = SUM($H241:$BH241),    " ",IF(AX243 = SUM($H241:$BH241),  " ",   "x")))</f>
        <v xml:space="preserve"> </v>
      </c>
      <c r="AY245" s="50" t="str">
        <f>IF(SUM($H243:AY243) &gt; SUM($H241:AY241),  " N/A", IF(SUM($H243:$BG243) = SUM($H241:$BH241),    " ",IF(AY243 = SUM($H241:$BH241),  " ",   "x")))</f>
        <v xml:space="preserve"> </v>
      </c>
      <c r="AZ245" s="50" t="str">
        <f>IF(SUM($H243:AZ243) &gt; SUM($H241:AZ241),  " N/A", IF(SUM($H243:$BG243) = SUM($H241:$BH241),    " ",IF(AZ243 = SUM($H241:$BH241),  " ",   "x")))</f>
        <v xml:space="preserve"> </v>
      </c>
      <c r="BA245" s="50" t="str">
        <f>IF(SUM($H243:BA243) &gt; SUM($H241:BA241),  " N/A", IF(SUM($H243:$BG243) = SUM($H241:$BH241),    " ",IF(BA243 = SUM($H241:$BH241),  " ",   "x")))</f>
        <v xml:space="preserve"> </v>
      </c>
      <c r="BB245" s="50" t="str">
        <f>IF(SUM($H243:BB243) &gt; SUM($H241:BB241),  " N/A", IF(SUM($H243:$BG243) = SUM($H241:$BH241),    " ",IF(BB243 = SUM($H241:$BH241),  " ",   "x")))</f>
        <v xml:space="preserve"> </v>
      </c>
      <c r="BC245" s="50" t="str">
        <f>IF(SUM($H243:BC243) &gt; SUM($H241:BC241),  " N/A", IF(SUM($H243:$BG243) = SUM($H241:$BH241),    " ",IF(BC243 = SUM($H241:$BH241),  " ",   "x")))</f>
        <v xml:space="preserve"> </v>
      </c>
      <c r="BD245" s="50" t="str">
        <f>IF(SUM($H243:BD243) &gt; SUM($H241:BD241),  " N/A", IF(SUM($H243:$BG243) = SUM($H241:$BH241),    " ",IF(BD243 = SUM($H241:$BH241),  " ",   "x")))</f>
        <v xml:space="preserve"> </v>
      </c>
      <c r="BE245" s="50" t="str">
        <f>IF(SUM($H243:BE243) &gt; SUM($H241:BE241),  " N/A", IF(SUM($H243:$BG243) = SUM($H241:$BH241),    " ",IF(BE243 = SUM($H241:$BH241),  " ",   "x")))</f>
        <v xml:space="preserve"> </v>
      </c>
      <c r="BF245" s="50" t="str">
        <f>IF(SUM($H243:BF243) &gt; SUM($H241:BF241),  " N/A", IF(SUM($H243:$BG243) = SUM($H241:$BH241),    " ",IF(BF243 = SUM($H241:$BH241),  " ",   "x")))</f>
        <v xml:space="preserve"> </v>
      </c>
      <c r="BG245" s="50" t="str">
        <f>IF(SUM($H243:BG243) &gt; SUM($H241:BG241),  " N/A", IF(SUM($H243:$BG243) = SUM($H241:$BH241),    " ",IF(BG243 = SUM($H241:$BH241),  " ",   "x")))</f>
        <v xml:space="preserve"> </v>
      </c>
      <c r="BH245" s="21"/>
    </row>
    <row r="246" spans="2:60" ht="15.6" x14ac:dyDescent="0.3">
      <c r="B246" s="71"/>
      <c r="C246" s="77"/>
      <c r="D246" s="82" t="s">
        <v>249</v>
      </c>
      <c r="E246" s="54">
        <f>SUM(H246:BG246)</f>
        <v>16</v>
      </c>
      <c r="F246" s="115">
        <f>Gant_24!$E246-E248</f>
        <v>16</v>
      </c>
      <c r="H246" s="41"/>
      <c r="I246" s="42"/>
      <c r="J246" s="42"/>
      <c r="K246" s="42"/>
      <c r="L246" s="51"/>
      <c r="M246" s="51"/>
      <c r="N246" s="51"/>
      <c r="O246" s="51"/>
      <c r="P246" s="51"/>
      <c r="Q246" s="51"/>
      <c r="R246" s="51"/>
      <c r="S246" s="51"/>
      <c r="T246" s="51"/>
      <c r="U246" s="51"/>
      <c r="V246" s="51"/>
      <c r="W246" s="51"/>
      <c r="X246" s="51"/>
      <c r="Y246" s="51"/>
      <c r="Z246" s="51"/>
      <c r="AA246" s="51"/>
      <c r="AB246" s="51"/>
      <c r="AC246" s="51"/>
      <c r="AD246" s="51"/>
      <c r="AE246" s="51">
        <v>16</v>
      </c>
      <c r="AF246" s="42"/>
      <c r="AG246" s="51"/>
      <c r="AH246" s="51"/>
      <c r="AI246" s="51"/>
      <c r="AJ246" s="51"/>
      <c r="AK246" s="51"/>
      <c r="AL246" s="51"/>
      <c r="AM246" s="51"/>
      <c r="AN246" s="51"/>
      <c r="AO246" s="51"/>
      <c r="AP246" s="51"/>
      <c r="AQ246" s="51"/>
      <c r="AR246" s="51"/>
      <c r="AS246" s="51"/>
      <c r="AT246" s="51"/>
      <c r="AU246" s="51"/>
      <c r="AV246" s="51"/>
      <c r="AW246" s="51"/>
      <c r="AX246" s="51"/>
      <c r="AY246" s="51"/>
      <c r="AZ246" s="51"/>
      <c r="BA246" s="51"/>
      <c r="BB246" s="51"/>
      <c r="BC246" s="51"/>
      <c r="BD246" s="51"/>
      <c r="BE246" s="51"/>
      <c r="BF246" s="51"/>
      <c r="BG246" s="51"/>
      <c r="BH246" s="21"/>
    </row>
    <row r="247" spans="2:60" ht="15.6" x14ac:dyDescent="0.3">
      <c r="B247" s="68"/>
      <c r="C247" s="78"/>
      <c r="D247" s="83" t="s">
        <v>261</v>
      </c>
      <c r="E247" s="55">
        <f>SUM(H247:BG247)</f>
        <v>0</v>
      </c>
      <c r="F247" s="116"/>
      <c r="H247" s="43"/>
      <c r="I247" s="44"/>
      <c r="J247" s="44"/>
      <c r="K247" s="44"/>
      <c r="L247" s="50"/>
      <c r="M247" s="50"/>
      <c r="N247" s="50"/>
      <c r="O247" s="50"/>
      <c r="P247" s="50"/>
      <c r="Q247" s="50"/>
      <c r="R247" s="50"/>
      <c r="S247" s="50"/>
      <c r="T247" s="50"/>
      <c r="U247" s="50"/>
      <c r="V247" s="50"/>
      <c r="W247" s="50"/>
      <c r="X247" s="50"/>
      <c r="Y247" s="50"/>
      <c r="Z247" s="50"/>
      <c r="AA247" s="50"/>
      <c r="AB247" s="50"/>
      <c r="AC247" s="50"/>
      <c r="AD247" s="50"/>
      <c r="AE247" s="50"/>
      <c r="AF247" s="44"/>
      <c r="AG247" s="50"/>
      <c r="AH247" s="50"/>
      <c r="AI247" s="50"/>
      <c r="AJ247" s="50"/>
      <c r="AK247" s="50"/>
      <c r="AL247" s="50"/>
      <c r="AM247" s="50"/>
      <c r="AN247" s="50"/>
      <c r="AO247" s="50"/>
      <c r="AP247" s="50"/>
      <c r="AQ247" s="50"/>
      <c r="AR247" s="50"/>
      <c r="AS247" s="50"/>
      <c r="AT247" s="50"/>
      <c r="AU247" s="50"/>
      <c r="AV247" s="50"/>
      <c r="AW247" s="50"/>
      <c r="AX247" s="50"/>
      <c r="AY247" s="50"/>
      <c r="AZ247" s="50"/>
      <c r="BA247" s="50"/>
      <c r="BB247" s="50"/>
      <c r="BC247" s="50"/>
      <c r="BD247" s="50"/>
      <c r="BE247" s="50"/>
      <c r="BF247" s="50"/>
      <c r="BG247" s="50"/>
      <c r="BH247" s="21"/>
    </row>
    <row r="248" spans="2:60" ht="15.6" x14ac:dyDescent="0.3">
      <c r="B248" s="68" t="s">
        <v>200</v>
      </c>
      <c r="C248" s="78" t="s">
        <v>201</v>
      </c>
      <c r="D248" s="83" t="s">
        <v>241</v>
      </c>
      <c r="E248" s="55">
        <f>SUM(H248:BG248)</f>
        <v>0</v>
      </c>
      <c r="F248" s="116"/>
      <c r="H248" s="45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  <c r="AG248" s="46"/>
      <c r="AH248" s="46"/>
      <c r="AI248" s="46"/>
      <c r="AJ248" s="46"/>
      <c r="AK248" s="46"/>
      <c r="AL248" s="46"/>
      <c r="AM248" s="46"/>
      <c r="AN248" s="46"/>
      <c r="AO248" s="46"/>
      <c r="AP248" s="46"/>
      <c r="AQ248" s="46"/>
      <c r="AR248" s="46"/>
      <c r="AS248" s="46"/>
      <c r="AT248" s="46"/>
      <c r="AU248" s="46"/>
      <c r="AV248" s="46"/>
      <c r="AW248" s="46"/>
      <c r="AX248" s="46"/>
      <c r="AY248" s="46"/>
      <c r="AZ248" s="46"/>
      <c r="BA248" s="46"/>
      <c r="BB248" s="46"/>
      <c r="BC248" s="46"/>
      <c r="BD248" s="46"/>
      <c r="BE248" s="46"/>
      <c r="BF248" s="46"/>
      <c r="BG248" s="46"/>
      <c r="BH248" s="21"/>
    </row>
    <row r="249" spans="2:60" ht="15.6" x14ac:dyDescent="0.3">
      <c r="B249" s="68"/>
      <c r="C249" s="78"/>
      <c r="D249" s="83" t="s">
        <v>278</v>
      </c>
      <c r="E249" s="56">
        <f ca="1">MAX(H249:BG249)</f>
        <v>0</v>
      </c>
      <c r="F249" s="116"/>
      <c r="H249" s="47"/>
      <c r="I249" s="48"/>
      <c r="J249" s="48"/>
      <c r="K249" s="48"/>
      <c r="L249" s="50"/>
      <c r="M249" s="50"/>
      <c r="N249" s="50"/>
      <c r="O249" s="50"/>
      <c r="P249" s="50"/>
      <c r="Q249" s="50"/>
      <c r="R249" s="50"/>
      <c r="S249" s="50"/>
      <c r="T249" s="50"/>
      <c r="U249" s="50"/>
      <c r="V249" s="50"/>
      <c r="W249" s="50"/>
      <c r="X249" s="50"/>
      <c r="Y249" s="50"/>
      <c r="Z249" s="50"/>
      <c r="AA249" s="44"/>
      <c r="AB249" s="44"/>
      <c r="AC249" s="44"/>
      <c r="AD249" s="44"/>
      <c r="AE249" s="44" t="str">
        <f>IF(SUM(H241:BG241) = AE248, " 0 ", " ")</f>
        <v xml:space="preserve"> </v>
      </c>
      <c r="AF249" s="44" t="str">
        <f ca="1">IF(AF9&gt;WEEKNUM(TODAY())," ", IF(AND(AF10="x",SUM($AE248:AF248)&gt;$AE246),H9-(SUM($AE248:AF248)/SUM($AE246:$BG246)),IF(SUM($AE248:AF248)&gt;=$AE246," ",H9-(SUM($AE248:AF248)/(SUM($AE246:$BG246))))))</f>
        <v xml:space="preserve"> </v>
      </c>
      <c r="AG249" s="44" t="str">
        <f ca="1">IF(AG9&gt;WEEKNUM(TODAY())," ", IF(AND(AG10="x",SUM($AE248:AG248)&gt;$AE246),I9-(SUM($AE248:AG248)/SUM($AE246:$BG246)),IF(SUM($AE248:AG248)&gt;=$AE246," ",I9-(SUM($AE248:AG248)/(SUM($AE246:$BG246))))))</f>
        <v xml:space="preserve"> </v>
      </c>
      <c r="AH249" s="44" t="str">
        <f ca="1">IF(AH9&gt;WEEKNUM(TODAY())," ", IF(AND(AH10="x",SUM($AE248:AH248)&gt;$AE246),J9-(SUM($AE248:AH248)/SUM($AE246:$BG246)),IF(SUM($AE248:AH248)&gt;=$AE246," ",J9-(SUM($AE248:AH248)/(SUM($AE246:$BG246))))))</f>
        <v xml:space="preserve"> </v>
      </c>
      <c r="AI249" s="44" t="str">
        <f ca="1">IF(AI9&gt;WEEKNUM(TODAY())," ", IF(AND(AI10="x",SUM($AE248:AI248)&gt;$AE246),K9-(SUM($AE248:AI248)/SUM($AE246:$BG246)),IF(SUM($AE248:AI248)&gt;=$AE246," ",K9-(SUM($AE248:AI248)/(SUM($AE246:$BG246))))))</f>
        <v xml:space="preserve"> </v>
      </c>
      <c r="AJ249" s="44" t="str">
        <f ca="1">IF(AJ9&gt;WEEKNUM(TODAY())," ", IF(AND(AJ10="x",SUM($AE248:AJ248)&gt;$AE246),L9-(SUM($AE248:AJ248)/SUM($AE246:$BG246)),IF(SUM($AE248:AJ248)&gt;=$AE246," ",L9-(SUM($AE248:AJ248)/(SUM($AE246:$BG246))))))</f>
        <v xml:space="preserve"> </v>
      </c>
      <c r="AK249" s="44" t="str">
        <f ca="1">IF(AK9&gt;WEEKNUM(TODAY())," ", IF(AND(AK10="x",SUM($AE248:AK248)&gt;$AE246),M9-(SUM($AE248:AK248)/SUM($AE246:$BG246)),IF(SUM($AE248:AK248)&gt;=$AE246," ",M9-(SUM($AE248:AK248)/(SUM($AE246:$BG246))))))</f>
        <v xml:space="preserve"> </v>
      </c>
      <c r="AL249" s="44" t="str">
        <f ca="1">IF(AL9&gt;WEEKNUM(TODAY())," ", IF(AND(AL10="x",SUM($AE248:AL248)&gt;$AE246),N9-(SUM($AE248:AL248)/SUM($AE246:$BG246)),IF(SUM($AE248:AL248)&gt;=$AE246," ",N9-(SUM($AE248:AL248)/(SUM($AE246:$BG246))))))</f>
        <v xml:space="preserve"> </v>
      </c>
      <c r="AM249" s="44" t="str">
        <f ca="1">IF(AM9&gt;WEEKNUM(TODAY())," ", IF(AND(AM10="x",SUM($AE248:AM248)&gt;$AE246),O9-(SUM($AE248:AM248)/SUM($AE246:$BG246)),IF(SUM($AE248:AM248)&gt;=$AE246," ",O9-(SUM($AE248:AM248)/(SUM($AE246:$BG246))))))</f>
        <v xml:space="preserve"> </v>
      </c>
      <c r="AN249" s="44" t="str">
        <f ca="1">IF(AN9&gt;WEEKNUM(TODAY())," ", IF(AND(AN10="x",SUM($AE248:AN248)&gt;$AE246),P9-(SUM($AE248:AN248)/SUM($AE246:$BG246)),IF(SUM($AE248:AN248)&gt;=$AE246," ",P9-(SUM($AE248:AN248)/(SUM($AE246:$BG246))))))</f>
        <v xml:space="preserve"> </v>
      </c>
      <c r="AO249" s="44" t="str">
        <f ca="1">IF(AO9&gt;WEEKNUM(TODAY())," ", IF(AND(AO10="x",SUM($AE248:AO248)&gt;$AE246),Q9-(SUM($AE248:AO248)/SUM($AE246:$BG246)),IF(SUM($AE248:AO248)&gt;=$AE246," ",Q9-(SUM($AE248:AO248)/(SUM($AE246:$BG246))))))</f>
        <v xml:space="preserve"> </v>
      </c>
      <c r="AP249" s="44" t="str">
        <f ca="1">IF(AP9&gt;WEEKNUM(TODAY())," ", IF(AND(AP10="x",SUM($AE248:AP248)&gt;$AE246),R9-(SUM($AE248:AP248)/SUM($AE246:$BG246)),IF(SUM($AE248:AP248)&gt;=$AE246," ",R9-(SUM($AE248:AP248)/(SUM($AE246:$BG246))))))</f>
        <v xml:space="preserve"> </v>
      </c>
      <c r="AQ249" s="44" t="str">
        <f ca="1">IF(AQ9&gt;WEEKNUM(TODAY())," ", IF(AND(AQ10="x",SUM($AE248:AQ248)&gt;$AE246),S9-(SUM($AE248:AQ248)/SUM($AE246:$BG246)),IF(SUM($AE248:AQ248)&gt;=$AE246," ",S9-(SUM($AE248:AQ248)/(SUM($AE246:$BG246))))))</f>
        <v xml:space="preserve"> </v>
      </c>
      <c r="AR249" s="44" t="str">
        <f ca="1">IF(AR9&gt;WEEKNUM(TODAY())," ", IF(AND(AR10="x",SUM($AE248:AR248)&gt;$AE246),T9-(SUM($AE248:AR248)/SUM($AE246:$BG246)),IF(SUM($AE248:AR248)&gt;=$AE246," ",T9-(SUM($AE248:AR248)/(SUM($AE246:$BG246))))))</f>
        <v xml:space="preserve"> </v>
      </c>
      <c r="AS249" s="44" t="str">
        <f ca="1">IF(AS9&gt;WEEKNUM(TODAY())," ", IF(AND(AS10="x",SUM($AE248:AS248)&gt;$AE246),U9-(SUM($AE248:AS248)/SUM($AE246:$BG246)),IF(SUM($AE248:AS248)&gt;=$AE246," ",U9-(SUM($AE248:AS248)/(SUM($AE246:$BG246))))))</f>
        <v xml:space="preserve"> </v>
      </c>
      <c r="AT249" s="44" t="str">
        <f ca="1">IF(AT9&gt;WEEKNUM(TODAY())," ", IF(AND(AT10="x",SUM($AE248:AT248)&gt;$AE246),V9-(SUM($AE248:AT248)/SUM($AE246:$BG246)),IF(SUM($AE248:AT248)&gt;=$AE246," ",V9-(SUM($AE248:AT248)/(SUM($AE246:$BG246))))))</f>
        <v xml:space="preserve"> </v>
      </c>
      <c r="AU249" s="44" t="str">
        <f ca="1">IF(AU9&gt;WEEKNUM(TODAY())," ", IF(AND(AU10="x",SUM($AE248:AU248)&gt;$AE246),W9-(SUM($AE248:AU248)/SUM($AE246:$BG246)),IF(SUM($AE248:AU248)&gt;=$AE246," ",W9-(SUM($AE248:AU248)/(SUM($AE246:$BG246))))))</f>
        <v xml:space="preserve"> </v>
      </c>
      <c r="AV249" s="44" t="str">
        <f ca="1">IF(AV9&gt;WEEKNUM(TODAY())," ", IF(AND(AV10="x",SUM($AE248:AV248)&gt;$AE246),X9-(SUM($AE248:AV248)/SUM($AE246:$BG246)),IF(SUM($AE248:AV248)&gt;=$AE246," ",X9-(SUM($AE248:AV248)/(SUM($AE246:$BG246))))))</f>
        <v xml:space="preserve"> </v>
      </c>
      <c r="AW249" s="44" t="str">
        <f ca="1">IF(AW9&gt;WEEKNUM(TODAY())," ", IF(AND(AW10="x",SUM($AE248:AW248)&gt;$AE246),Y9-(SUM($AE248:AW248)/SUM($AE246:$BG246)),IF(SUM($AE248:AW248)&gt;=$AE246," ",Y9-(SUM($AE248:AW248)/(SUM($AE246:$BG246))))))</f>
        <v xml:space="preserve"> </v>
      </c>
      <c r="AX249" s="44" t="str">
        <f ca="1">IF(AX9&gt;WEEKNUM(TODAY())," ", IF(AND(AX10="x",SUM($AE248:AX248)&gt;$AE246),Z9-(SUM($AE248:AX248)/SUM($AE246:$BG246)),IF(SUM($AE248:AX248)&gt;=$AE246," ",Z9-(SUM($AE248:AX248)/(SUM($AE246:$BG246))))))</f>
        <v xml:space="preserve"> </v>
      </c>
      <c r="AY249" s="44" t="str">
        <f ca="1">IF(AY9&gt;WEEKNUM(TODAY())," ", IF(AND(AY10="x",SUM($AE248:AY248)&gt;$AE246),AA9-(SUM($AE248:AY248)/SUM($AE246:$BG246)),IF(SUM($AE248:AY248)&gt;=$AE246," ",AA9-(SUM($AE248:AY248)/(SUM($AE246:$BG246))))))</f>
        <v xml:space="preserve"> </v>
      </c>
      <c r="AZ249" s="44" t="str">
        <f ca="1">IF(AZ9&gt;WEEKNUM(TODAY())," ", IF(AND(AZ10="x",SUM($AE248:AZ248)&gt;$AE246),AB9-(SUM($AE248:AZ248)/SUM($AE246:$BG246)),IF(SUM($AE248:AZ248)&gt;=$AE246," ",AB9-(SUM($AE248:AZ248)/(SUM($AE246:$BG246))))))</f>
        <v xml:space="preserve"> </v>
      </c>
      <c r="BA249" s="44" t="str">
        <f ca="1">IF(BA9&gt;WEEKNUM(TODAY())," ", IF(AND(BA10="x",SUM($AE248:BA248)&gt;$AE246),AC9-(SUM($AE248:BA248)/SUM($AE246:$BG246)),IF(SUM($AE248:BA248)&gt;=$AE246," ",AC9-(SUM($AE248:BA248)/(SUM($AE246:$BG246))))))</f>
        <v xml:space="preserve"> </v>
      </c>
      <c r="BB249" s="44" t="str">
        <f ca="1">IF(BB9&gt;WEEKNUM(TODAY())," ", IF(AND(BB10="x",SUM($AE248:BB248)&gt;$AE246),AD9-(SUM($AE248:BB248)/SUM($AE246:$BG246)),IF(SUM($AE248:BB248)&gt;=$AE246," ",AD9-(SUM($AE248:BB248)/(SUM($AE246:$BG246))))))</f>
        <v xml:space="preserve"> </v>
      </c>
      <c r="BC249" s="44" t="str">
        <f ca="1">IF(BC9&gt;WEEKNUM(TODAY())," ", IF(AND(BC10="x",SUM($AE248:BC248)&gt;$AE246),AE9-(SUM($AE248:BC248)/SUM($AE246:$BG246)),IF(SUM($AE248:BC248)&gt;=$AE246," ",AE9-(SUM($AE248:BC248)/(SUM($AE246:$BG246))))))</f>
        <v xml:space="preserve"> </v>
      </c>
      <c r="BD249" s="44" t="str">
        <f ca="1">IF(BD9&gt;WEEKNUM(TODAY())," ", IF(AND(BD10="x",SUM($AE248:BD248)&gt;$AE246),AF9-(SUM($AE248:BD248)/SUM($AE246:$BG246)),IF(SUM($AE248:BD248)&gt;=$AE246," ",AF9-(SUM($AE248:BD248)/(SUM($AE246:$BG246))))))</f>
        <v xml:space="preserve"> </v>
      </c>
      <c r="BE249" s="44" t="str">
        <f ca="1">IF(BE9&gt;WEEKNUM(TODAY())," ", IF(AND(BE10="x",SUM($AE248:BE248)&gt;$AE246),AG9-(SUM($AE248:BE248)/SUM($AE246:$BG246)),IF(SUM($AE248:BE248)&gt;=$AE246," ",AG9-(SUM($AE248:BE248)/(SUM($AE246:$BG246))))))</f>
        <v xml:space="preserve"> </v>
      </c>
      <c r="BF249" s="44" t="str">
        <f ca="1">IF(BF9&gt;WEEKNUM(TODAY())," ", IF(AND(BF10="x",SUM($AE248:BF248)&gt;$AE246),AH9-(SUM($AE248:BF248)/SUM($AE246:$BG246)),IF(SUM($AE248:BF248)&gt;=$AE246," ",AH9-(SUM($AE248:BF248)/(SUM($AE246:$BG246))))))</f>
        <v xml:space="preserve"> </v>
      </c>
      <c r="BG249" s="44" t="str">
        <f ca="1">IF(BG9&gt;WEEKNUM(TODAY())," ", IF(AND(BG10="x",SUM($AE248:BG248)&gt;$AE246),AI9-(SUM($AE248:BG248)/SUM($AE246:$BG246)),IF(SUM($AE248:BG248)&gt;=$AE246," ",AI9-(SUM($AE248:BG248)/(SUM($AE246:$BG246))))))</f>
        <v xml:space="preserve"> </v>
      </c>
      <c r="BH249" s="21"/>
    </row>
    <row r="250" spans="2:60" ht="16.2" thickBot="1" x14ac:dyDescent="0.35">
      <c r="B250" s="70"/>
      <c r="C250" s="79"/>
      <c r="D250" s="84"/>
      <c r="E250" s="57"/>
      <c r="F250" s="117"/>
      <c r="H250" s="49" t="str">
        <f>IF(H246= " ", " ",IF(H248&gt;SUM($H246:$BG246), " N/A", IF(SUM($H248:$BG248)=SUM($H246:BG246), " ", IF(H248=SUM($H246:BG246), " ", "x"))))</f>
        <v>x</v>
      </c>
      <c r="I250" s="50" t="str">
        <f>IF(SUM($H248:I248) &gt; SUM($H246:I246),  " N/A", IF(SUM($H248:$BG248) = SUM($H246:$BH246),    " ",IF(I248 = SUM($H246:$BH246),  " ",   "x")))</f>
        <v>x</v>
      </c>
      <c r="J250" s="50" t="str">
        <f>IF(SUM($H248:J248) &gt; SUM($H246:J246),  " N/A", IF(SUM($H248:$BG248) = SUM($H246:$BH246),    " ",IF(J248 = SUM($H246:$BH246),  " ",   "x")))</f>
        <v>x</v>
      </c>
      <c r="K250" s="50" t="str">
        <f>IF(SUM($H248:K248) &gt; SUM($H246:K246),  " N/A", IF(SUM($H248:$BG248) = SUM($H246:$BH246),    " ",IF(K248 = SUM($H246:$BH246),  " ",   "x")))</f>
        <v>x</v>
      </c>
      <c r="L250" s="50" t="str">
        <f>IF(SUM($H248:L248) &gt; SUM($H246:L246),  " N/A", IF(SUM($H248:$BG248) = SUM($H246:$BH246),    " ",IF(L248 = SUM($H246:$BH246),  " ",   "x")))</f>
        <v>x</v>
      </c>
      <c r="M250" s="50" t="str">
        <f>IF(SUM($H248:M248) &gt; SUM($H246:M246),  " N/A", IF(SUM($H248:$BG248) = SUM($H246:$BH246),    " ",IF(M248 = SUM($H246:$BH246),  " ",   "x")))</f>
        <v>x</v>
      </c>
      <c r="N250" s="50" t="str">
        <f>IF(SUM($H248:N248) &gt; SUM($H246:N246),  " N/A", IF(SUM($H248:$BG248) = SUM($H246:$BH246),    " ",IF(N248 = SUM($H246:$BH246),  " ",   "x")))</f>
        <v>x</v>
      </c>
      <c r="O250" s="50" t="str">
        <f>IF(SUM($H248:O248) &gt; SUM($H246:O246),  " N/A", IF(SUM($H248:$BG248) = SUM($H246:$BH246),    " ",IF(O248 = SUM($H246:$BH246),  " ",   "x")))</f>
        <v>x</v>
      </c>
      <c r="P250" s="50" t="str">
        <f>IF(SUM($H248:P248) &gt; SUM($H246:P246),  " N/A", IF(SUM($H248:$BG248) = SUM($H246:$BH246),    " ",IF(P248 = SUM($H246:$BH246),  " ",   "x")))</f>
        <v>x</v>
      </c>
      <c r="Q250" s="50" t="str">
        <f>IF(SUM($H248:Q248) &gt; SUM($H246:Q246),  " N/A", IF(SUM($H248:$BG248) = SUM($H246:$BH246),    " ",IF(Q248 = SUM($H246:$BH246),  " ",   "x")))</f>
        <v>x</v>
      </c>
      <c r="R250" s="50" t="str">
        <f>IF(SUM($H248:R248) &gt; SUM($H246:R246),  " N/A", IF(SUM($H248:$BG248) = SUM($H246:$BH246),    " ",IF(R248 = SUM($H246:$BH246),  " ",   "x")))</f>
        <v>x</v>
      </c>
      <c r="S250" s="50" t="str">
        <f>IF(SUM($H248:S248) &gt; SUM($H246:S246),  " N/A", IF(SUM($H248:$BG248) = SUM($H246:$BH246),    " ",IF(S248 = SUM($H246:$BH246),  " ",   "x")))</f>
        <v>x</v>
      </c>
      <c r="T250" s="50" t="str">
        <f>IF(SUM($H248:T248) &gt; SUM($H246:T246),  " N/A", IF(SUM($H248:$BG248) = SUM($H246:$BH246),    " ",IF(T248 = SUM($H246:$BH246),  " ",   "x")))</f>
        <v>x</v>
      </c>
      <c r="U250" s="50" t="str">
        <f>IF(SUM($H248:U248) &gt; SUM($H246:U246),  " N/A", IF(SUM($H248:$BG248) = SUM($H246:$BH246),    " ",IF(U248 = SUM($H246:$BH246),  " ",   "x")))</f>
        <v>x</v>
      </c>
      <c r="V250" s="50" t="str">
        <f>IF(SUM($H248:V248) &gt; SUM($H246:V246),  " N/A", IF(SUM($H248:$BG248) = SUM($H246:$BH246),    " ",IF(V248 = SUM($H246:$BH246),  " ",   "x")))</f>
        <v>x</v>
      </c>
      <c r="W250" s="50" t="str">
        <f>IF(SUM($H248:W248) &gt; SUM($H246:W246),  " N/A", IF(SUM($H248:$BG248) = SUM($H246:$BH246),    " ",IF(W248 = SUM($H246:$BH246),  " ",   "x")))</f>
        <v>x</v>
      </c>
      <c r="X250" s="50" t="str">
        <f>IF(SUM($H248:X248) &gt; SUM($H246:X246),  " N/A", IF(SUM($H248:$BG248) = SUM($H246:$BH246),    " ",IF(X248 = SUM($H246:$BH246),  " ",   "x")))</f>
        <v>x</v>
      </c>
      <c r="Y250" s="50" t="str">
        <f>IF(SUM($H248:Y248) &gt; SUM($H246:Y246),  " N/A", IF(SUM($H248:$BG248) = SUM($H246:$BH246),    " ",IF(Y248 = SUM($H246:$BH246),  " ",   "x")))</f>
        <v>x</v>
      </c>
      <c r="Z250" s="50" t="str">
        <f>IF(SUM($H248:Z248) &gt; SUM($H246:Z246),  " N/A", IF(SUM($H248:$BG248) = SUM($H246:$BH246),    " ",IF(Z248 = SUM($H246:$BH246),  " ",   "x")))</f>
        <v>x</v>
      </c>
      <c r="AA250" s="50" t="str">
        <f>IF(SUM($H248:AA248) &gt; SUM($H246:AA246),  " N/A", IF(SUM($H248:$BG248) = SUM($H246:$BH246),    " ",IF(AA248 = SUM($H246:$BH246),  " ",   "x")))</f>
        <v>x</v>
      </c>
      <c r="AB250" s="50" t="str">
        <f>IF(SUM($H248:AB248) &gt; SUM($H246:AB246),  " N/A", IF(SUM($H248:$BG248) = SUM($H246:$BH246),    " ",IF(AB248 = SUM($H246:$BH246),  " ",   "x")))</f>
        <v>x</v>
      </c>
      <c r="AC250" s="50" t="str">
        <f>IF(SUM($H248:AC248) &gt; SUM($H246:AC246),  " N/A", IF(SUM($H248:$BG248) = SUM($H246:$BH246),    " ",IF(AC248 = SUM($H246:$BH246),  " ",   "x")))</f>
        <v>x</v>
      </c>
      <c r="AD250" s="50" t="str">
        <f>IF(SUM($H248:AD248) &gt; SUM($H246:AD246),  " N/A", IF(SUM($H248:$BG248) = SUM($H246:$BH246),    " ",IF(AD248 = SUM($H246:$BH246),  " ",   "x")))</f>
        <v>x</v>
      </c>
      <c r="AE250" s="50" t="str">
        <f>IF(SUM($H248:AE248) &gt; SUM($H246:AE246),  " N/A", IF(SUM($H248:$BG248) = SUM($H246:$BH246),    " ",IF(AE248 = SUM($H246:$BH246),  " ",   "x")))</f>
        <v>x</v>
      </c>
      <c r="AF250" s="50" t="str">
        <f>IF(SUM($H248:AF248) &gt; SUM($H246:AF246),  " N/A", IF(SUM($H248:$BG248) = SUM($H246:$BH246),    " ",IF(AF248 = SUM($H246:$BH246),  " ",   "x")))</f>
        <v>x</v>
      </c>
      <c r="AG250" s="50" t="str">
        <f>IF(SUM($H248:AG248) &gt; SUM($H246:AG246),  " N/A", IF(SUM($H248:$BG248) = SUM($H246:$BH246),    " ",IF(AG248 = SUM($H246:$BH246),  " ",   "x")))</f>
        <v>x</v>
      </c>
      <c r="AH250" s="50" t="str">
        <f>IF(SUM($H248:AH248) &gt; SUM($H246:AH246),  " N/A", IF(SUM($H248:$BG248) = SUM($H246:$BH246),    " ",IF(AH248 = SUM($H246:$BH246),  " ",   "x")))</f>
        <v>x</v>
      </c>
      <c r="AI250" s="50" t="str">
        <f>IF(SUM($H248:AI248) &gt; SUM($H246:AI246),  " N/A", IF(SUM($H248:$BG248) = SUM($H246:$BH246),    " ",IF(AI248 = SUM($H246:$BH246),  " ",   "x")))</f>
        <v>x</v>
      </c>
      <c r="AJ250" s="50" t="str">
        <f>IF(SUM($H248:AJ248) &gt; SUM($H246:AJ246),  " N/A", IF(SUM($H248:$BG248) = SUM($H246:$BH246),    " ",IF(AJ248 = SUM($H246:$BH246),  " ",   "x")))</f>
        <v>x</v>
      </c>
      <c r="AK250" s="50" t="str">
        <f>IF(SUM($H248:AK248) &gt; SUM($H246:AK246),  " N/A", IF(SUM($H248:$BG248) = SUM($H246:$BH246),    " ",IF(AK248 = SUM($H246:$BH246),  " ",   "x")))</f>
        <v>x</v>
      </c>
      <c r="AL250" s="50" t="str">
        <f>IF(SUM($H248:AL248) &gt; SUM($H246:AL246),  " N/A", IF(SUM($H248:$BG248) = SUM($H246:$BH246),    " ",IF(AL248 = SUM($H246:$BH246),  " ",   "x")))</f>
        <v>x</v>
      </c>
      <c r="AM250" s="50" t="str">
        <f>IF(SUM($H248:AM248) &gt; SUM($H246:AM246),  " N/A", IF(SUM($H248:$BG248) = SUM($H246:$BH246),    " ",IF(AM248 = SUM($H246:$BH246),  " ",   "x")))</f>
        <v>x</v>
      </c>
      <c r="AN250" s="50" t="str">
        <f>IF(SUM($H248:AN248) &gt; SUM($H246:AN246),  " N/A", IF(SUM($H248:$BG248) = SUM($H246:$BH246),    " ",IF(AN248 = SUM($H246:$BH246),  " ",   "x")))</f>
        <v>x</v>
      </c>
      <c r="AO250" s="50" t="str">
        <f>IF(SUM($H248:AO248) &gt; SUM($H246:AO246),  " N/A", IF(SUM($H248:$BG248) = SUM($H246:$BH246),    " ",IF(AO248 = SUM($H246:$BH246),  " ",   "x")))</f>
        <v>x</v>
      </c>
      <c r="AP250" s="50" t="str">
        <f>IF(SUM($H248:AP248) &gt; SUM($H246:AP246),  " N/A", IF(SUM($H248:$BG248) = SUM($H246:$BH246),    " ",IF(AP248 = SUM($H246:$BH246),  " ",   "x")))</f>
        <v>x</v>
      </c>
      <c r="AQ250" s="50" t="str">
        <f>IF(SUM($H248:AQ248) &gt; SUM($H246:AQ246),  " N/A", IF(SUM($H248:$BG248) = SUM($H246:$BH246),    " ",IF(AQ248 = SUM($H246:$BH246),  " ",   "x")))</f>
        <v>x</v>
      </c>
      <c r="AR250" s="50" t="str">
        <f>IF(SUM($H248:AR248) &gt; SUM($H246:AR246),  " N/A", IF(SUM($H248:$BG248) = SUM($H246:$BH246),    " ",IF(AR248 = SUM($H246:$BH246),  " ",   "x")))</f>
        <v>x</v>
      </c>
      <c r="AS250" s="50" t="str">
        <f>IF(SUM($H248:AS248) &gt; SUM($H246:AS246),  " N/A", IF(SUM($H248:$BG248) = SUM($H246:$BH246),    " ",IF(AS248 = SUM($H246:$BH246),  " ",   "x")))</f>
        <v>x</v>
      </c>
      <c r="AT250" s="50" t="str">
        <f>IF(SUM($H248:AT248) &gt; SUM($H246:AT246),  " N/A", IF(SUM($H248:$BG248) = SUM($H246:$BH246),    " ",IF(AT248 = SUM($H246:$BH246),  " ",   "x")))</f>
        <v>x</v>
      </c>
      <c r="AU250" s="50" t="str">
        <f>IF(SUM($H248:AU248) &gt; SUM($H246:AU246),  " N/A", IF(SUM($H248:$BG248) = SUM($H246:$BH246),    " ",IF(AU248 = SUM($H246:$BH246),  " ",   "x")))</f>
        <v>x</v>
      </c>
      <c r="AV250" s="50" t="str">
        <f>IF(SUM($H248:AV248) &gt; SUM($H246:AV246),  " N/A", IF(SUM($H248:$BG248) = SUM($H246:$BH246),    " ",IF(AV248 = SUM($H246:$BH246),  " ",   "x")))</f>
        <v>x</v>
      </c>
      <c r="AW250" s="50" t="str">
        <f>IF(SUM($H248:AW248) &gt; SUM($H246:AW246),  " N/A", IF(SUM($H248:$BG248) = SUM($H246:$BH246),    " ",IF(AW248 = SUM($H246:$BH246),  " ",   "x")))</f>
        <v>x</v>
      </c>
      <c r="AX250" s="50" t="str">
        <f>IF(SUM($H248:AX248) &gt; SUM($H246:AX246),  " N/A", IF(SUM($H248:$BG248) = SUM($H246:$BH246),    " ",IF(AX248 = SUM($H246:$BH246),  " ",   "x")))</f>
        <v>x</v>
      </c>
      <c r="AY250" s="50" t="str">
        <f>IF(SUM($H248:AY248) &gt; SUM($H246:AY246),  " N/A", IF(SUM($H248:$BG248) = SUM($H246:$BH246),    " ",IF(AY248 = SUM($H246:$BH246),  " ",   "x")))</f>
        <v>x</v>
      </c>
      <c r="AZ250" s="50" t="str">
        <f>IF(SUM($H248:AZ248) &gt; SUM($H246:AZ246),  " N/A", IF(SUM($H248:$BG248) = SUM($H246:$BH246),    " ",IF(AZ248 = SUM($H246:$BH246),  " ",   "x")))</f>
        <v>x</v>
      </c>
      <c r="BA250" s="50" t="str">
        <f>IF(SUM($H248:BA248) &gt; SUM($H246:BA246),  " N/A", IF(SUM($H248:$BG248) = SUM($H246:$BH246),    " ",IF(BA248 = SUM($H246:$BH246),  " ",   "x")))</f>
        <v>x</v>
      </c>
      <c r="BB250" s="50" t="str">
        <f>IF(SUM($H248:BB248) &gt; SUM($H246:BB246),  " N/A", IF(SUM($H248:$BG248) = SUM($H246:$BH246),    " ",IF(BB248 = SUM($H246:$BH246),  " ",   "x")))</f>
        <v>x</v>
      </c>
      <c r="BC250" s="50" t="str">
        <f>IF(SUM($H248:BC248) &gt; SUM($H246:BC246),  " N/A", IF(SUM($H248:$BG248) = SUM($H246:$BH246),    " ",IF(BC248 = SUM($H246:$BH246),  " ",   "x")))</f>
        <v>x</v>
      </c>
      <c r="BD250" s="50" t="str">
        <f>IF(SUM($H248:BD248) &gt; SUM($H246:BD246),  " N/A", IF(SUM($H248:$BG248) = SUM($H246:$BH246),    " ",IF(BD248 = SUM($H246:$BH246),  " ",   "x")))</f>
        <v>x</v>
      </c>
      <c r="BE250" s="50" t="str">
        <f>IF(SUM($H248:BE248) &gt; SUM($H246:BE246),  " N/A", IF(SUM($H248:$BG248) = SUM($H246:$BH246),    " ",IF(BE248 = SUM($H246:$BH246),  " ",   "x")))</f>
        <v>x</v>
      </c>
      <c r="BF250" s="50" t="str">
        <f>IF(SUM($H248:BF248) &gt; SUM($H246:BF246),  " N/A", IF(SUM($H248:$BG248) = SUM($H246:$BH246),    " ",IF(BF248 = SUM($H246:$BH246),  " ",   "x")))</f>
        <v>x</v>
      </c>
      <c r="BG250" s="50" t="str">
        <f>IF(SUM($H248:BG248) &gt; SUM($H246:BG246),  " N/A", IF(SUM($H248:$BG248) = SUM($H246:$BH246),    " ",IF(BG248 = SUM($H246:$BH246),  " ",   "x")))</f>
        <v>x</v>
      </c>
      <c r="BH250" s="21"/>
    </row>
    <row r="251" spans="2:60" ht="15.6" x14ac:dyDescent="0.3">
      <c r="B251" s="71"/>
      <c r="C251" s="77"/>
      <c r="D251" s="82" t="s">
        <v>249</v>
      </c>
      <c r="E251" s="54">
        <f>SUM(H251:BG251)</f>
        <v>16</v>
      </c>
      <c r="F251" s="115">
        <f>Gant_24!$E251-E253</f>
        <v>16</v>
      </c>
      <c r="H251" s="41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>
        <v>16</v>
      </c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42"/>
      <c r="BB251" s="42"/>
      <c r="BC251" s="42"/>
      <c r="BD251" s="42"/>
      <c r="BE251" s="42"/>
      <c r="BF251" s="42"/>
      <c r="BG251" s="42"/>
      <c r="BH251" s="21"/>
    </row>
    <row r="252" spans="2:60" ht="15.6" x14ac:dyDescent="0.3">
      <c r="B252" s="68"/>
      <c r="C252" s="78"/>
      <c r="D252" s="83" t="s">
        <v>261</v>
      </c>
      <c r="E252" s="55">
        <f>SUM(H252:BG252)</f>
        <v>0</v>
      </c>
      <c r="F252" s="116"/>
      <c r="H252" s="43"/>
      <c r="I252" s="44"/>
      <c r="J252" s="44"/>
      <c r="K252" s="44"/>
      <c r="L252" s="44"/>
      <c r="M252" s="44"/>
      <c r="N252" s="44"/>
      <c r="O252" s="44"/>
      <c r="P252" s="44"/>
      <c r="Q252" s="44"/>
      <c r="R252" s="44"/>
      <c r="S252" s="44"/>
      <c r="T252" s="44"/>
      <c r="U252" s="44"/>
      <c r="V252" s="44"/>
      <c r="W252" s="44"/>
      <c r="X252" s="44"/>
      <c r="Y252" s="44"/>
      <c r="Z252" s="44"/>
      <c r="AA252" s="44"/>
      <c r="AB252" s="44"/>
      <c r="AC252" s="44"/>
      <c r="AD252" s="44"/>
      <c r="AE252" s="44"/>
      <c r="AF252" s="44"/>
      <c r="AG252" s="44"/>
      <c r="AH252" s="44"/>
      <c r="AI252" s="44"/>
      <c r="AJ252" s="44"/>
      <c r="AK252" s="44"/>
      <c r="AL252" s="44"/>
      <c r="AM252" s="44"/>
      <c r="AN252" s="44"/>
      <c r="AO252" s="44"/>
      <c r="AP252" s="44"/>
      <c r="AQ252" s="44"/>
      <c r="AR252" s="44"/>
      <c r="AS252" s="44"/>
      <c r="AT252" s="44"/>
      <c r="AU252" s="44"/>
      <c r="AV252" s="44"/>
      <c r="AW252" s="44"/>
      <c r="AX252" s="44"/>
      <c r="AY252" s="44"/>
      <c r="AZ252" s="44"/>
      <c r="BA252" s="44"/>
      <c r="BB252" s="44"/>
      <c r="BC252" s="44"/>
      <c r="BD252" s="44"/>
      <c r="BE252" s="44"/>
      <c r="BF252" s="44"/>
      <c r="BG252" s="44"/>
      <c r="BH252" s="21"/>
    </row>
    <row r="253" spans="2:60" ht="15.6" x14ac:dyDescent="0.3">
      <c r="B253" s="68" t="s">
        <v>203</v>
      </c>
      <c r="C253" s="78" t="s">
        <v>204</v>
      </c>
      <c r="D253" s="83" t="s">
        <v>241</v>
      </c>
      <c r="E253" s="55">
        <f>SUM(H253:BG253)</f>
        <v>0</v>
      </c>
      <c r="F253" s="116"/>
      <c r="H253" s="45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  <c r="AG253" s="46"/>
      <c r="AH253" s="46"/>
      <c r="AI253" s="46"/>
      <c r="AJ253" s="46"/>
      <c r="AK253" s="46"/>
      <c r="AL253" s="46"/>
      <c r="AM253" s="46"/>
      <c r="AN253" s="46"/>
      <c r="AO253" s="46"/>
      <c r="AP253" s="46"/>
      <c r="AQ253" s="46"/>
      <c r="AR253" s="46"/>
      <c r="AS253" s="46"/>
      <c r="AT253" s="46"/>
      <c r="AU253" s="46"/>
      <c r="AV253" s="46"/>
      <c r="AW253" s="46"/>
      <c r="AX253" s="46"/>
      <c r="AY253" s="46"/>
      <c r="AZ253" s="46"/>
      <c r="BA253" s="46"/>
      <c r="BB253" s="46"/>
      <c r="BC253" s="46"/>
      <c r="BD253" s="46"/>
      <c r="BE253" s="46"/>
      <c r="BF253" s="46"/>
      <c r="BG253" s="46"/>
      <c r="BH253" s="21"/>
    </row>
    <row r="254" spans="2:60" ht="15.6" x14ac:dyDescent="0.3">
      <c r="B254" s="68"/>
      <c r="C254" s="78"/>
      <c r="D254" s="83" t="s">
        <v>278</v>
      </c>
      <c r="E254" s="56">
        <f ca="1">MAX(H254:BG254)</f>
        <v>0</v>
      </c>
      <c r="F254" s="116"/>
      <c r="H254" s="47"/>
      <c r="I254" s="48"/>
      <c r="J254" s="48"/>
      <c r="K254" s="48"/>
      <c r="L254" s="44"/>
      <c r="M254" s="44"/>
      <c r="N254" s="44"/>
      <c r="O254" s="44"/>
      <c r="P254" s="44"/>
      <c r="Q254" s="44"/>
      <c r="R254" s="44"/>
      <c r="S254" s="44"/>
      <c r="T254" s="44"/>
      <c r="U254" s="44"/>
      <c r="V254" s="44"/>
      <c r="W254" s="44"/>
      <c r="X254" s="44"/>
      <c r="Y254" s="44"/>
      <c r="Z254" s="44"/>
      <c r="AA254" s="44"/>
      <c r="AB254" s="44"/>
      <c r="AC254" s="44" t="str">
        <f>IF(SUM(H251:BG251) = AC253, " ", " ")</f>
        <v xml:space="preserve"> </v>
      </c>
      <c r="AD254" s="44" t="str">
        <f ca="1">IF(AD9&gt;WEEKNUM(TODAY())," ", IF(AND(AD10="x",SUM($AC253:AD253)&gt;$AC251),H9-(SUM($AC253:AD253)/SUM($AC251:$BG251)),IF(SUM($AC253:AD253)&gt;=$AC251," ",H9-(SUM($AC253:AD253)/(SUM($AC251:$BG251))))))</f>
        <v xml:space="preserve"> </v>
      </c>
      <c r="AE254" s="44" t="str">
        <f ca="1">IF(AE9&gt;WEEKNUM(TODAY())," ", IF(AND(AE10="x",SUM($AC253:AE253)&gt;$AC251),I9-(SUM($AC253:AE253)/SUM($AC251:$BG251)),IF(SUM($AC253:AE253)&gt;=$AC251," ",I9-(SUM($AC253:AE253)/(SUM($AC251:$BG251))))))</f>
        <v xml:space="preserve"> </v>
      </c>
      <c r="AF254" s="44" t="str">
        <f ca="1">IF(AF9&gt;WEEKNUM(TODAY())," ", IF(AND(AF10="x",SUM($AC253:AF253)&gt;$AC251),J9-(SUM($AC253:AF253)/SUM($AC251:$BG251)),IF(SUM($AC253:AF253)&gt;=$AC251," ",J9-(SUM($AC253:AF253)/(SUM($AC251:$BG251))))))</f>
        <v xml:space="preserve"> </v>
      </c>
      <c r="AG254" s="44" t="str">
        <f ca="1">IF(AG9&gt;WEEKNUM(TODAY())," ", IF(AND(AG10="x",SUM($AC253:AG253)&gt;$AC251),K9-(SUM($AC253:AG253)/SUM($AC251:$BG251)),IF(SUM($AC253:AG253)&gt;=$AC251," ",K9-(SUM($AC253:AG253)/(SUM($AC251:$BG251))))))</f>
        <v xml:space="preserve"> </v>
      </c>
      <c r="AH254" s="44" t="str">
        <f ca="1">IF(AH9&gt;WEEKNUM(TODAY())," ", IF(AND(AH10="x",SUM($AC253:AH253)&gt;$AC251),L9-(SUM($AC253:AH253)/SUM($AC251:$BG251)),IF(SUM($AC253:AH253)&gt;=$AC251," ",L9-(SUM($AC253:AH253)/(SUM($AC251:$BG251))))))</f>
        <v xml:space="preserve"> </v>
      </c>
      <c r="AI254" s="44" t="str">
        <f ca="1">IF(AI9&gt;WEEKNUM(TODAY())," ", IF(AND(AI10="x",SUM($AC253:AI253)&gt;$AC251),M9-(SUM($AC253:AI253)/SUM($AC251:$BG251)),IF(SUM($AC253:AI253)&gt;=$AC251," ",M9-(SUM($AC253:AI253)/(SUM($AC251:$BG251))))))</f>
        <v xml:space="preserve"> </v>
      </c>
      <c r="AJ254" s="44" t="str">
        <f ca="1">IF(AJ9&gt;WEEKNUM(TODAY())," ", IF(AND(AJ10="x",SUM($AC253:AJ253)&gt;$AC251),N9-(SUM($AC253:AJ253)/SUM($AC251:$BG251)),IF(SUM($AC253:AJ253)&gt;=$AC251," ",N9-(SUM($AC253:AJ253)/(SUM($AC251:$BG251))))))</f>
        <v xml:space="preserve"> </v>
      </c>
      <c r="AK254" s="44" t="str">
        <f ca="1">IF(AK9&gt;WEEKNUM(TODAY())," ", IF(AND(AK10="x",SUM($AC253:AK253)&gt;$AC251),O9-(SUM($AC253:AK253)/SUM($AC251:$BG251)),IF(SUM($AC253:AK253)&gt;=$AC251," ",O9-(SUM($AC253:AK253)/(SUM($AC251:$BG251))))))</f>
        <v xml:space="preserve"> </v>
      </c>
      <c r="AL254" s="44" t="str">
        <f ca="1">IF(AL9&gt;WEEKNUM(TODAY())," ", IF(AND(AL10="x",SUM($AC253:AL253)&gt;$AC251),P9-(SUM($AC253:AL253)/SUM($AC251:$BG251)),IF(SUM($AC253:AL253)&gt;=$AC251," ",P9-(SUM($AC253:AL253)/(SUM($AC251:$BG251))))))</f>
        <v xml:space="preserve"> </v>
      </c>
      <c r="AM254" s="44" t="str">
        <f ca="1">IF(AM9&gt;WEEKNUM(TODAY())," ", IF(AND(AM10="x",SUM($AC253:AM253)&gt;$AC251),Q9-(SUM($AC253:AM253)/SUM($AC251:$BG251)),IF(SUM($AC253:AM253)&gt;=$AC251," ",Q9-(SUM($AC253:AM253)/(SUM($AC251:$BG251))))))</f>
        <v xml:space="preserve"> </v>
      </c>
      <c r="AN254" s="44" t="str">
        <f ca="1">IF(AN9&gt;WEEKNUM(TODAY())," ", IF(AND(AN10="x",SUM($AC253:AN253)&gt;$AC251),R9-(SUM($AC253:AN253)/SUM($AC251:$BG251)),IF(SUM($AC253:AN253)&gt;=$AC251," ",R9-(SUM($AC253:AN253)/(SUM($AC251:$BG251))))))</f>
        <v xml:space="preserve"> </v>
      </c>
      <c r="AO254" s="44" t="str">
        <f ca="1">IF(AO9&gt;WEEKNUM(TODAY())," ", IF(AND(AO10="x",SUM($AC253:AO253)&gt;$AC251),S9-(SUM($AC253:AO253)/SUM($AC251:$BG251)),IF(SUM($AC253:AO253)&gt;=$AC251," ",S9-(SUM($AC253:AO253)/(SUM($AC251:$BG251))))))</f>
        <v xml:space="preserve"> </v>
      </c>
      <c r="AP254" s="44" t="str">
        <f ca="1">IF(AP9&gt;WEEKNUM(TODAY())," ", IF(AND(AP10="x",SUM($AC253:AP253)&gt;$AC251),T9-(SUM($AC253:AP253)/SUM($AC251:$BG251)),IF(SUM($AC253:AP253)&gt;=$AC251," ",T9-(SUM($AC253:AP253)/(SUM($AC251:$BG251))))))</f>
        <v xml:space="preserve"> </v>
      </c>
      <c r="AQ254" s="44" t="str">
        <f ca="1">IF(AQ9&gt;WEEKNUM(TODAY())," ", IF(AND(AQ10="x",SUM($AC253:AQ253)&gt;$AC251),U9-(SUM($AC253:AQ253)/SUM($AC251:$BG251)),IF(SUM($AC253:AQ253)&gt;=$AC251," ",U9-(SUM($AC253:AQ253)/(SUM($AC251:$BG251))))))</f>
        <v xml:space="preserve"> </v>
      </c>
      <c r="AR254" s="44" t="str">
        <f ca="1">IF(AR9&gt;WEEKNUM(TODAY())," ", IF(AND(AR10="x",SUM($AC253:AR253)&gt;$AC251),V9-(SUM($AC253:AR253)/SUM($AC251:$BG251)),IF(SUM($AC253:AR253)&gt;=$AC251," ",V9-(SUM($AC253:AR253)/(SUM($AC251:$BG251))))))</f>
        <v xml:space="preserve"> </v>
      </c>
      <c r="AS254" s="44" t="str">
        <f ca="1">IF(AS9&gt;WEEKNUM(TODAY())," ", IF(AND(AS10="x",SUM($AC253:AS253)&gt;$AC251),W9-(SUM($AC253:AS253)/SUM($AC251:$BG251)),IF(SUM($AC253:AS253)&gt;=$AC251," ",W9-(SUM($AC253:AS253)/(SUM($AC251:$BG251))))))</f>
        <v xml:space="preserve"> </v>
      </c>
      <c r="AT254" s="44" t="str">
        <f ca="1">IF(AT9&gt;WEEKNUM(TODAY())," ", IF(AND(AT10="x",SUM($AC253:AT253)&gt;$AC251),X9-(SUM($AC253:AT253)/SUM($AC251:$BG251)),IF(SUM($AC253:AT253)&gt;=$AC251," ",X9-(SUM($AC253:AT253)/(SUM($AC251:$BG251))))))</f>
        <v xml:space="preserve"> </v>
      </c>
      <c r="AU254" s="44" t="str">
        <f ca="1">IF(AU9&gt;WEEKNUM(TODAY())," ", IF(AND(AU10="x",SUM($AC253:AU253)&gt;$AC251),Y9-(SUM($AC253:AU253)/SUM($AC251:$BG251)),IF(SUM($AC253:AU253)&gt;=$AC251," ",Y9-(SUM($AC253:AU253)/(SUM($AC251:$BG251))))))</f>
        <v xml:space="preserve"> </v>
      </c>
      <c r="AV254" s="44" t="str">
        <f ca="1">IF(AV9&gt;WEEKNUM(TODAY())," ", IF(AND(AV10="x",SUM($AC253:AV253)&gt;$AC251),Z9-(SUM($AC253:AV253)/SUM($AC251:$BG251)),IF(SUM($AC253:AV253)&gt;=$AC251," ",Z9-(SUM($AC253:AV253)/(SUM($AC251:$BG251))))))</f>
        <v xml:space="preserve"> </v>
      </c>
      <c r="AW254" s="44" t="str">
        <f ca="1">IF(AW9&gt;WEEKNUM(TODAY())," ", IF(AND(AW10="x",SUM($AC253:AW253)&gt;$AC251),AA9-(SUM($AC253:AW253)/SUM($AC251:$BG251)),IF(SUM($AC253:AW253)&gt;=$AC251," ",AA9-(SUM($AC253:AW253)/(SUM($AC251:$BG251))))))</f>
        <v xml:space="preserve"> </v>
      </c>
      <c r="AX254" s="44" t="str">
        <f ca="1">IF(AX9&gt;WEEKNUM(TODAY())," ", IF(AND(AX10="x",SUM($AC253:AX253)&gt;$AC251),AB9-(SUM($AC253:AX253)/SUM($AC251:$BG251)),IF(SUM($AC253:AX253)&gt;=$AC251," ",AB9-(SUM($AC253:AX253)/(SUM($AC251:$BG251))))))</f>
        <v xml:space="preserve"> </v>
      </c>
      <c r="AY254" s="44" t="str">
        <f ca="1">IF(AY9&gt;WEEKNUM(TODAY())," ", IF(AND(AY10="x",SUM($AC253:AY253)&gt;$AC251),AC9-(SUM($AC253:AY253)/SUM($AC251:$BG251)),IF(SUM($AC253:AY253)&gt;=$AC251," ",AC9-(SUM($AC253:AY253)/(SUM($AC251:$BG251))))))</f>
        <v xml:space="preserve"> </v>
      </c>
      <c r="AZ254" s="44" t="str">
        <f ca="1">IF(AZ9&gt;WEEKNUM(TODAY())," ", IF(AND(AZ10="x",SUM($AC253:AZ253)&gt;$AC251),AD9-(SUM($AC253:AZ253)/SUM($AC251:$BG251)),IF(SUM($AC253:AZ253)&gt;=$AC251," ",AD9-(SUM($AC253:AZ253)/(SUM($AC251:$BG251))))))</f>
        <v xml:space="preserve"> </v>
      </c>
      <c r="BA254" s="44" t="str">
        <f ca="1">IF(BA9&gt;WEEKNUM(TODAY())," ", IF(AND(BA10="x",SUM($AC253:BA253)&gt;$AC251),AE9-(SUM($AC253:BA253)/SUM($AC251:$BG251)),IF(SUM($AC253:BA253)&gt;=$AC251," ",AE9-(SUM($AC253:BA253)/(SUM($AC251:$BG251))))))</f>
        <v xml:space="preserve"> </v>
      </c>
      <c r="BB254" s="44" t="str">
        <f ca="1">IF(BB9&gt;WEEKNUM(TODAY())," ", IF(AND(BB10="x",SUM($AC253:BB253)&gt;$AC251),AF9-(SUM($AC253:BB253)/SUM($AC251:$BG251)),IF(SUM($AC253:BB253)&gt;=$AC251," ",AF9-(SUM($AC253:BB253)/(SUM($AC251:$BG251))))))</f>
        <v xml:space="preserve"> </v>
      </c>
      <c r="BC254" s="44" t="str">
        <f ca="1">IF(BC9&gt;WEEKNUM(TODAY())," ", IF(AND(BC10="x",SUM($AC253:BC253)&gt;$AC251),AG9-(SUM($AC253:BC253)/SUM($AC251:$BG251)),IF(SUM($AC253:BC253)&gt;=$AC251," ",AG9-(SUM($AC253:BC253)/(SUM($AC251:$BG251))))))</f>
        <v xml:space="preserve"> </v>
      </c>
      <c r="BD254" s="44" t="str">
        <f ca="1">IF(BD9&gt;WEEKNUM(TODAY())," ", IF(AND(BD10="x",SUM($AC253:BD253)&gt;$AC251),AH9-(SUM($AC253:BD253)/SUM($AC251:$BG251)),IF(SUM($AC253:BD253)&gt;=$AC251," ",AH9-(SUM($AC253:BD253)/(SUM($AC251:$BG251))))))</f>
        <v xml:space="preserve"> </v>
      </c>
      <c r="BE254" s="44" t="str">
        <f ca="1">IF(BE9&gt;WEEKNUM(TODAY())," ", IF(AND(BE10="x",SUM($AC253:BE253)&gt;$AC251),AI9-(SUM($AC253:BE253)/SUM($AC251:$BG251)),IF(SUM($AC253:BE253)&gt;=$AC251," ",AI9-(SUM($AC253:BE253)/(SUM($AC251:$BG251))))))</f>
        <v xml:space="preserve"> </v>
      </c>
      <c r="BF254" s="44" t="str">
        <f ca="1">IF(BF9&gt;WEEKNUM(TODAY())," ", IF(AND(BF10="x",SUM($AC253:BF253)&gt;$AC251),AJ9-(SUM($AC253:BF253)/SUM($AC251:$BG251)),IF(SUM($AC253:BF253)&gt;=$AC251," ",AJ9-(SUM($AC253:BF253)/(SUM($AC251:$BG251))))))</f>
        <v xml:space="preserve"> </v>
      </c>
      <c r="BG254" s="44" t="str">
        <f ca="1">IF(BG9&gt;WEEKNUM(TODAY())," ", IF(AND(BG10="x",SUM($AC253:BG253)&gt;$AC251),AK9-(SUM($AC253:BG253)/SUM($AC251:$BG251)),IF(SUM($AC253:BG253)&gt;=$AC251," ",AK9-(SUM($AC253:BG253)/(SUM($AC251:$BG251))))))</f>
        <v xml:space="preserve"> </v>
      </c>
      <c r="BH254" s="21"/>
    </row>
    <row r="255" spans="2:60" ht="16.2" thickBot="1" x14ac:dyDescent="0.35">
      <c r="B255" s="70"/>
      <c r="C255" s="79"/>
      <c r="D255" s="84"/>
      <c r="E255" s="57"/>
      <c r="F255" s="117"/>
      <c r="H255" s="49" t="str">
        <f>IF(H251= " ", " ",IF(H253&gt;SUM($H251:$BG251), " N/A", IF(SUM($H253:$BG253)=SUM($H251:BG251), " ", IF(H253=SUM($H251:BG251), " ", "x"))))</f>
        <v>x</v>
      </c>
      <c r="I255" s="50" t="str">
        <f>IF(SUM($H253:I253) &gt; SUM($H251:I251),  " N/A", IF(SUM($H253:$BG253) = SUM($H251:$BH251),    " ",IF(I253 = SUM($H251:$BH251),  " ",   "x")))</f>
        <v>x</v>
      </c>
      <c r="J255" s="50" t="str">
        <f>IF(SUM($H253:J253) &gt; SUM($H251:J251),  " N/A", IF(SUM($H253:$BG253) = SUM($H251:$BH251),    " ",IF(J253 = SUM($H251:$BH251),  " ",   "x")))</f>
        <v>x</v>
      </c>
      <c r="K255" s="50" t="str">
        <f>IF(SUM($H253:K253) &gt; SUM($H251:K251),  " N/A", IF(SUM($H253:$BG253) = SUM($H251:$BH251),    " ",IF(K253 = SUM($H251:$BH251),  " ",   "x")))</f>
        <v>x</v>
      </c>
      <c r="L255" s="50" t="str">
        <f>IF(SUM($H253:L253) &gt; SUM($H251:L251),  " N/A", IF(SUM($H253:$BG253) = SUM($H251:$BH251),    " ",IF(L253 = SUM($H251:$BH251),  " ",   "x")))</f>
        <v>x</v>
      </c>
      <c r="M255" s="50" t="str">
        <f>IF(SUM($H253:M253) &gt; SUM($H251:M251),  " N/A", IF(SUM($H253:$BG253) = SUM($H251:$BH251),    " ",IF(M253 = SUM($H251:$BH251),  " ",   "x")))</f>
        <v>x</v>
      </c>
      <c r="N255" s="50" t="str">
        <f>IF(SUM($H253:N253) &gt; SUM($H251:N251),  " N/A", IF(SUM($H253:$BG253) = SUM($H251:$BH251),    " ",IF(N253 = SUM($H251:$BH251),  " ",   "x")))</f>
        <v>x</v>
      </c>
      <c r="O255" s="50" t="str">
        <f>IF(SUM($H253:O253) &gt; SUM($H251:O251),  " N/A", IF(SUM($H253:$BG253) = SUM($H251:$BH251),    " ",IF(O253 = SUM($H251:$BH251),  " ",   "x")))</f>
        <v>x</v>
      </c>
      <c r="P255" s="50" t="str">
        <f>IF(SUM($H253:P253) &gt; SUM($H251:P251),  " N/A", IF(SUM($H253:$BG253) = SUM($H251:$BH251),    " ",IF(P253 = SUM($H251:$BH251),  " ",   "x")))</f>
        <v>x</v>
      </c>
      <c r="Q255" s="50" t="str">
        <f>IF(SUM($H253:Q253) &gt; SUM($H251:Q251),  " N/A", IF(SUM($H253:$BG253) = SUM($H251:$BH251),    " ",IF(Q253 = SUM($H251:$BH251),  " ",   "x")))</f>
        <v>x</v>
      </c>
      <c r="R255" s="50" t="str">
        <f>IF(SUM($H253:R253) &gt; SUM($H251:R251),  " N/A", IF(SUM($H253:$BG253) = SUM($H251:$BH251),    " ",IF(R253 = SUM($H251:$BH251),  " ",   "x")))</f>
        <v>x</v>
      </c>
      <c r="S255" s="50" t="str">
        <f>IF(SUM($H253:S253) &gt; SUM($H251:S251),  " N/A", IF(SUM($H253:$BG253) = SUM($H251:$BH251),    " ",IF(S253 = SUM($H251:$BH251),  " ",   "x")))</f>
        <v>x</v>
      </c>
      <c r="T255" s="50" t="str">
        <f>IF(SUM($H253:T253) &gt; SUM($H251:T251),  " N/A", IF(SUM($H253:$BG253) = SUM($H251:$BH251),    " ",IF(T253 = SUM($H251:$BH251),  " ",   "x")))</f>
        <v>x</v>
      </c>
      <c r="U255" s="50" t="str">
        <f>IF(SUM($H253:U253) &gt; SUM($H251:U251),  " N/A", IF(SUM($H253:$BG253) = SUM($H251:$BH251),    " ",IF(U253 = SUM($H251:$BH251),  " ",   "x")))</f>
        <v>x</v>
      </c>
      <c r="V255" s="50" t="str">
        <f>IF(SUM($H253:V253) &gt; SUM($H251:V251),  " N/A", IF(SUM($H253:$BG253) = SUM($H251:$BH251),    " ",IF(V253 = SUM($H251:$BH251),  " ",   "x")))</f>
        <v>x</v>
      </c>
      <c r="W255" s="50" t="str">
        <f>IF(SUM($H253:W253) &gt; SUM($H251:W251),  " N/A", IF(SUM($H253:$BG253) = SUM($H251:$BH251),    " ",IF(W253 = SUM($H251:$BH251),  " ",   "x")))</f>
        <v>x</v>
      </c>
      <c r="X255" s="50" t="str">
        <f>IF(SUM($H253:X253) &gt; SUM($H251:X251),  " N/A", IF(SUM($H253:$BG253) = SUM($H251:$BH251),    " ",IF(X253 = SUM($H251:$BH251),  " ",   "x")))</f>
        <v>x</v>
      </c>
      <c r="Y255" s="50" t="str">
        <f>IF(SUM($H253:Y253) &gt; SUM($H251:Y251),  " N/A", IF(SUM($H253:$BG253) = SUM($H251:$BH251),    " ",IF(Y253 = SUM($H251:$BH251),  " ",   "x")))</f>
        <v>x</v>
      </c>
      <c r="Z255" s="50" t="str">
        <f>IF(SUM($H253:Z253) &gt; SUM($H251:Z251),  " N/A", IF(SUM($H253:$BG253) = SUM($H251:$BH251),    " ",IF(Z253 = SUM($H251:$BH251),  " ",   "x")))</f>
        <v>x</v>
      </c>
      <c r="AA255" s="50" t="str">
        <f>IF(SUM($H253:AA253) &gt; SUM($H251:AA251),  " N/A", IF(SUM($H253:$BG253) = SUM($H251:$BH251),    " ",IF(AA253 = SUM($H251:$BH251),  " ",   "x")))</f>
        <v>x</v>
      </c>
      <c r="AB255" s="50" t="str">
        <f>IF(SUM($H253:AB253) &gt; SUM($H251:AB251),  " N/A", IF(SUM($H253:$BG253) = SUM($H251:$BH251),    " ",IF(AB253 = SUM($H251:$BH251),  " ",   "x")))</f>
        <v>x</v>
      </c>
      <c r="AC255" s="50" t="str">
        <f>IF(SUM($H253:AC253) &gt; SUM($H251:AC251),  " N/A", IF(SUM($H253:$BG253) = SUM($H251:$BH251),    " ",IF(AC253 = SUM($H251:$BH251),  " ",   "x")))</f>
        <v>x</v>
      </c>
      <c r="AD255" s="50" t="str">
        <f>IF(SUM($H253:AD253) &gt; SUM($H251:AD251),  " N/A", IF(SUM($H253:$BG253) = SUM($H251:$BH251),    " ",IF(AD253 = SUM($H251:$BH251),  " ",   "x")))</f>
        <v>x</v>
      </c>
      <c r="AE255" s="50" t="str">
        <f>IF(SUM($H253:AE253) &gt; SUM($H251:AE251),  " N/A", IF(SUM($H253:$BG253) = SUM($H251:$BH251),    " ",IF(AE253 = SUM($H251:$BH251),  " ",   "x")))</f>
        <v>x</v>
      </c>
      <c r="AF255" s="50" t="str">
        <f>IF(SUM($H253:AF253) &gt; SUM($H251:AF251),  " N/A", IF(SUM($H253:$BG253) = SUM($H251:$BH251),    " ",IF(AF253 = SUM($H251:$BH251),  " ",   "x")))</f>
        <v>x</v>
      </c>
      <c r="AG255" s="50" t="str">
        <f>IF(SUM($H253:AG253) &gt; SUM($H251:AG251),  " N/A", IF(SUM($H253:$BG253) = SUM($H251:$BH251),    " ",IF(AG253 = SUM($H251:$BH251),  " ",   "x")))</f>
        <v>x</v>
      </c>
      <c r="AH255" s="50" t="str">
        <f>IF(SUM($H253:AH253) &gt; SUM($H251:AH251),  " N/A", IF(SUM($H253:$BG253) = SUM($H251:$BH251),    " ",IF(AH253 = SUM($H251:$BH251),  " ",   "x")))</f>
        <v>x</v>
      </c>
      <c r="AI255" s="50" t="str">
        <f>IF(SUM($H253:AI253) &gt; SUM($H251:AI251),  " N/A", IF(SUM($H253:$BG253) = SUM($H251:$BH251),    " ",IF(AI253 = SUM($H251:$BH251),  " ",   "x")))</f>
        <v>x</v>
      </c>
      <c r="AJ255" s="50" t="str">
        <f>IF(SUM($H253:AJ253) &gt; SUM($H251:AJ251),  " N/A", IF(SUM($H253:$BG253) = SUM($H251:$BH251),    " ",IF(AJ253 = SUM($H251:$BH251),  " ",   "x")))</f>
        <v>x</v>
      </c>
      <c r="AK255" s="50" t="str">
        <f>IF(SUM($H253:AK253) &gt; SUM($H251:AK251),  " N/A", IF(SUM($H253:$BG253) = SUM($H251:$BH251),    " ",IF(AK253 = SUM($H251:$BH251),  " ",   "x")))</f>
        <v>x</v>
      </c>
      <c r="AL255" s="50" t="str">
        <f>IF(SUM($H253:AL253) &gt; SUM($H251:AL251),  " N/A", IF(SUM($H253:$BG253) = SUM($H251:$BH251),    " ",IF(AL253 = SUM($H251:$BH251),  " ",   "x")))</f>
        <v>x</v>
      </c>
      <c r="AM255" s="50" t="str">
        <f>IF(SUM($H253:AM253) &gt; SUM($H251:AM251),  " N/A", IF(SUM($H253:$BG253) = SUM($H251:$BH251),    " ",IF(AM253 = SUM($H251:$BH251),  " ",   "x")))</f>
        <v>x</v>
      </c>
      <c r="AN255" s="50" t="str">
        <f>IF(SUM($H253:AN253) &gt; SUM($H251:AN251),  " N/A", IF(SUM($H253:$BG253) = SUM($H251:$BH251),    " ",IF(AN253 = SUM($H251:$BH251),  " ",   "x")))</f>
        <v>x</v>
      </c>
      <c r="AO255" s="50" t="str">
        <f>IF(SUM($H253:AO253) &gt; SUM($H251:AO251),  " N/A", IF(SUM($H253:$BG253) = SUM($H251:$BH251),    " ",IF(AO253 = SUM($H251:$BH251),  " ",   "x")))</f>
        <v>x</v>
      </c>
      <c r="AP255" s="50" t="str">
        <f>IF(SUM($H253:AP253) &gt; SUM($H251:AP251),  " N/A", IF(SUM($H253:$BG253) = SUM($H251:$BH251),    " ",IF(AP253 = SUM($H251:$BH251),  " ",   "x")))</f>
        <v>x</v>
      </c>
      <c r="AQ255" s="50" t="str">
        <f>IF(SUM($H253:AQ253) &gt; SUM($H251:AQ251),  " N/A", IF(SUM($H253:$BG253) = SUM($H251:$BH251),    " ",IF(AQ253 = SUM($H251:$BH251),  " ",   "x")))</f>
        <v>x</v>
      </c>
      <c r="AR255" s="50" t="str">
        <f>IF(SUM($H253:AR253) &gt; SUM($H251:AR251),  " N/A", IF(SUM($H253:$BG253) = SUM($H251:$BH251),    " ",IF(AR253 = SUM($H251:$BH251),  " ",   "x")))</f>
        <v>x</v>
      </c>
      <c r="AS255" s="50" t="str">
        <f>IF(SUM($H253:AS253) &gt; SUM($H251:AS251),  " N/A", IF(SUM($H253:$BG253) = SUM($H251:$BH251),    " ",IF(AS253 = SUM($H251:$BH251),  " ",   "x")))</f>
        <v>x</v>
      </c>
      <c r="AT255" s="50" t="str">
        <f>IF(SUM($H253:AT253) &gt; SUM($H251:AT251),  " N/A", IF(SUM($H253:$BG253) = SUM($H251:$BH251),    " ",IF(AT253 = SUM($H251:$BH251),  " ",   "x")))</f>
        <v>x</v>
      </c>
      <c r="AU255" s="50" t="str">
        <f>IF(SUM($H253:AU253) &gt; SUM($H251:AU251),  " N/A", IF(SUM($H253:$BG253) = SUM($H251:$BH251),    " ",IF(AU253 = SUM($H251:$BH251),  " ",   "x")))</f>
        <v>x</v>
      </c>
      <c r="AV255" s="50" t="str">
        <f>IF(SUM($H253:AV253) &gt; SUM($H251:AV251),  " N/A", IF(SUM($H253:$BG253) = SUM($H251:$BH251),    " ",IF(AV253 = SUM($H251:$BH251),  " ",   "x")))</f>
        <v>x</v>
      </c>
      <c r="AW255" s="50" t="str">
        <f>IF(SUM($H253:AW253) &gt; SUM($H251:AW251),  " N/A", IF(SUM($H253:$BG253) = SUM($H251:$BH251),    " ",IF(AW253 = SUM($H251:$BH251),  " ",   "x")))</f>
        <v>x</v>
      </c>
      <c r="AX255" s="50" t="str">
        <f>IF(SUM($H253:AX253) &gt; SUM($H251:AX251),  " N/A", IF(SUM($H253:$BG253) = SUM($H251:$BH251),    " ",IF(AX253 = SUM($H251:$BH251),  " ",   "x")))</f>
        <v>x</v>
      </c>
      <c r="AY255" s="50" t="str">
        <f>IF(SUM($H253:AY253) &gt; SUM($H251:AY251),  " N/A", IF(SUM($H253:$BG253) = SUM($H251:$BH251),    " ",IF(AY253 = SUM($H251:$BH251),  " ",   "x")))</f>
        <v>x</v>
      </c>
      <c r="AZ255" s="50" t="str">
        <f>IF(SUM($H253:AZ253) &gt; SUM($H251:AZ251),  " N/A", IF(SUM($H253:$BG253) = SUM($H251:$BH251),    " ",IF(AZ253 = SUM($H251:$BH251),  " ",   "x")))</f>
        <v>x</v>
      </c>
      <c r="BA255" s="50" t="str">
        <f>IF(SUM($H253:BA253) &gt; SUM($H251:BA251),  " N/A", IF(SUM($H253:$BG253) = SUM($H251:$BH251),    " ",IF(BA253 = SUM($H251:$BH251),  " ",   "x")))</f>
        <v>x</v>
      </c>
      <c r="BB255" s="50" t="str">
        <f>IF(SUM($H253:BB253) &gt; SUM($H251:BB251),  " N/A", IF(SUM($H253:$BG253) = SUM($H251:$BH251),    " ",IF(BB253 = SUM($H251:$BH251),  " ",   "x")))</f>
        <v>x</v>
      </c>
      <c r="BC255" s="50" t="str">
        <f>IF(SUM($H253:BC253) &gt; SUM($H251:BC251),  " N/A", IF(SUM($H253:$BG253) = SUM($H251:$BH251),    " ",IF(BC253 = SUM($H251:$BH251),  " ",   "x")))</f>
        <v>x</v>
      </c>
      <c r="BD255" s="50" t="str">
        <f>IF(SUM($H253:BD253) &gt; SUM($H251:BD251),  " N/A", IF(SUM($H253:$BG253) = SUM($H251:$BH251),    " ",IF(BD253 = SUM($H251:$BH251),  " ",   "x")))</f>
        <v>x</v>
      </c>
      <c r="BE255" s="50" t="str">
        <f>IF(SUM($H253:BE253) &gt; SUM($H251:BE251),  " N/A", IF(SUM($H253:$BG253) = SUM($H251:$BH251),    " ",IF(BE253 = SUM($H251:$BH251),  " ",   "x")))</f>
        <v>x</v>
      </c>
      <c r="BF255" s="50" t="str">
        <f>IF(SUM($H253:BF253) &gt; SUM($H251:BF251),  " N/A", IF(SUM($H253:$BG253) = SUM($H251:$BH251),    " ",IF(BF253 = SUM($H251:$BH251),  " ",   "x")))</f>
        <v>x</v>
      </c>
      <c r="BG255" s="50" t="str">
        <f>IF(SUM($H253:BG253) &gt; SUM($H251:BG251),  " N/A", IF(SUM($H253:$BG253) = SUM($H251:$BH251),    " ",IF(BG253 = SUM($H251:$BH251),  " ",   "x")))</f>
        <v>x</v>
      </c>
      <c r="BH255" s="21"/>
    </row>
    <row r="256" spans="2:60" ht="15.6" x14ac:dyDescent="0.3">
      <c r="B256" s="71"/>
      <c r="C256" s="77"/>
      <c r="D256" s="82" t="s">
        <v>249</v>
      </c>
      <c r="E256" s="54">
        <f>SUM(H256:BG256)</f>
        <v>16</v>
      </c>
      <c r="F256" s="115">
        <f>Gant_24!$E256-E258</f>
        <v>0</v>
      </c>
      <c r="H256" s="41"/>
      <c r="I256" s="42"/>
      <c r="J256" s="42"/>
      <c r="K256" s="42"/>
      <c r="L256" s="51"/>
      <c r="M256" s="51"/>
      <c r="N256" s="51"/>
      <c r="O256" s="51"/>
      <c r="P256" s="51"/>
      <c r="Q256" s="51"/>
      <c r="R256" s="51"/>
      <c r="S256" s="51"/>
      <c r="T256" s="51"/>
      <c r="U256" s="51"/>
      <c r="V256" s="51"/>
      <c r="W256" s="51"/>
      <c r="X256" s="51"/>
      <c r="Y256" s="51"/>
      <c r="Z256" s="51"/>
      <c r="AA256" s="51"/>
      <c r="AB256" s="51"/>
      <c r="AC256" s="51">
        <v>16</v>
      </c>
      <c r="AD256" s="42"/>
      <c r="AE256" s="51"/>
      <c r="AF256" s="51"/>
      <c r="AG256" s="51"/>
      <c r="AH256" s="51"/>
      <c r="AI256" s="51"/>
      <c r="AJ256" s="51"/>
      <c r="AK256" s="51"/>
      <c r="AL256" s="51"/>
      <c r="AM256" s="51"/>
      <c r="AN256" s="51"/>
      <c r="AO256" s="51"/>
      <c r="AP256" s="51"/>
      <c r="AQ256" s="51"/>
      <c r="AR256" s="51"/>
      <c r="AS256" s="51"/>
      <c r="AT256" s="51"/>
      <c r="AU256" s="51"/>
      <c r="AV256" s="51"/>
      <c r="AW256" s="51"/>
      <c r="AX256" s="51"/>
      <c r="AY256" s="51"/>
      <c r="AZ256" s="51"/>
      <c r="BA256" s="51"/>
      <c r="BB256" s="51"/>
      <c r="BC256" s="51"/>
      <c r="BD256" s="51"/>
      <c r="BE256" s="51"/>
      <c r="BF256" s="51"/>
      <c r="BG256" s="51"/>
      <c r="BH256" s="21"/>
    </row>
    <row r="257" spans="2:60" ht="15.6" x14ac:dyDescent="0.3">
      <c r="B257" s="68"/>
      <c r="C257" s="78"/>
      <c r="D257" s="83" t="s">
        <v>261</v>
      </c>
      <c r="E257" s="55">
        <f>SUM(H257:BG257)</f>
        <v>0</v>
      </c>
      <c r="F257" s="116"/>
      <c r="H257" s="43"/>
      <c r="I257" s="44"/>
      <c r="J257" s="44"/>
      <c r="K257" s="44"/>
      <c r="L257" s="50"/>
      <c r="M257" s="50"/>
      <c r="N257" s="50"/>
      <c r="O257" s="50"/>
      <c r="P257" s="50"/>
      <c r="Q257" s="50"/>
      <c r="R257" s="50"/>
      <c r="S257" s="50"/>
      <c r="T257" s="50"/>
      <c r="U257" s="50"/>
      <c r="V257" s="50"/>
      <c r="W257" s="50"/>
      <c r="X257" s="50"/>
      <c r="Y257" s="50"/>
      <c r="Z257" s="50"/>
      <c r="AA257" s="50"/>
      <c r="AB257" s="50"/>
      <c r="AC257" s="50"/>
      <c r="AD257" s="44"/>
      <c r="AE257" s="50"/>
      <c r="AF257" s="50"/>
      <c r="AG257" s="50"/>
      <c r="AH257" s="50"/>
      <c r="AI257" s="50"/>
      <c r="AJ257" s="50"/>
      <c r="AK257" s="50"/>
      <c r="AL257" s="50"/>
      <c r="AM257" s="50"/>
      <c r="AN257" s="50"/>
      <c r="AO257" s="50"/>
      <c r="AP257" s="50"/>
      <c r="AQ257" s="50"/>
      <c r="AR257" s="50"/>
      <c r="AS257" s="50"/>
      <c r="AT257" s="50"/>
      <c r="AU257" s="50"/>
      <c r="AV257" s="50"/>
      <c r="AW257" s="50"/>
      <c r="AX257" s="50"/>
      <c r="AY257" s="50"/>
      <c r="AZ257" s="50"/>
      <c r="BA257" s="50"/>
      <c r="BB257" s="50"/>
      <c r="BC257" s="50"/>
      <c r="BD257" s="50"/>
      <c r="BE257" s="50"/>
      <c r="BF257" s="50"/>
      <c r="BG257" s="50"/>
      <c r="BH257" s="21"/>
    </row>
    <row r="258" spans="2:60" ht="15.6" x14ac:dyDescent="0.3">
      <c r="B258" s="68" t="s">
        <v>208</v>
      </c>
      <c r="C258" s="78" t="s">
        <v>209</v>
      </c>
      <c r="D258" s="83" t="s">
        <v>241</v>
      </c>
      <c r="E258" s="55">
        <f>SUM(H258:BG258)</f>
        <v>16</v>
      </c>
      <c r="F258" s="116"/>
      <c r="H258" s="45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  <c r="AG258" s="46"/>
      <c r="AH258" s="46">
        <v>16</v>
      </c>
      <c r="AI258" s="46"/>
      <c r="AJ258" s="46"/>
      <c r="AK258" s="46"/>
      <c r="AL258" s="46"/>
      <c r="AM258" s="46"/>
      <c r="AN258" s="46"/>
      <c r="AO258" s="46"/>
      <c r="AP258" s="46"/>
      <c r="AQ258" s="46"/>
      <c r="AR258" s="46"/>
      <c r="AS258" s="46"/>
      <c r="AT258" s="46"/>
      <c r="AU258" s="46"/>
      <c r="AV258" s="46"/>
      <c r="AW258" s="46"/>
      <c r="AX258" s="46"/>
      <c r="AY258" s="46"/>
      <c r="AZ258" s="46"/>
      <c r="BA258" s="46"/>
      <c r="BB258" s="46"/>
      <c r="BC258" s="46"/>
      <c r="BD258" s="46"/>
      <c r="BE258" s="46"/>
      <c r="BF258" s="46"/>
      <c r="BG258" s="46"/>
      <c r="BH258" s="21"/>
    </row>
    <row r="259" spans="2:60" ht="15.6" x14ac:dyDescent="0.3">
      <c r="B259" s="68"/>
      <c r="C259" s="78"/>
      <c r="D259" s="83" t="s">
        <v>278</v>
      </c>
      <c r="E259" s="56">
        <f ca="1">MAX(H259:BG259)</f>
        <v>0</v>
      </c>
      <c r="F259" s="116"/>
      <c r="H259" s="47"/>
      <c r="I259" s="48"/>
      <c r="J259" s="48"/>
      <c r="K259" s="48"/>
      <c r="L259" s="50"/>
      <c r="M259" s="50"/>
      <c r="N259" s="50"/>
      <c r="O259" s="50"/>
      <c r="P259" s="50"/>
      <c r="Q259" s="50"/>
      <c r="R259" s="50"/>
      <c r="S259" s="50"/>
      <c r="T259" s="50"/>
      <c r="U259" s="50"/>
      <c r="V259" s="50"/>
      <c r="W259" s="50"/>
      <c r="X259" s="50"/>
      <c r="Y259" s="50"/>
      <c r="Z259" s="50"/>
      <c r="AA259" s="44"/>
      <c r="AB259" s="44"/>
      <c r="AC259" s="44" t="str">
        <f>IF(SUM(H256:BG256) = AC258, " ", " ")</f>
        <v xml:space="preserve"> </v>
      </c>
      <c r="AD259" s="44" t="str">
        <f ca="1">IF(AD9&gt;WEEKNUM(TODAY())," ", IF(AND(AD10="x",SUM($AC258:AD258)&gt;$AC256),H9-(SUM($AC258:AD258)/SUM($AC256:$BG256)),IF(SUM($AC258:AD258)&gt;=$AC256," ",H9-(SUM($AC258:AD258)/(SUM($AC256:$BG256))))))</f>
        <v xml:space="preserve"> </v>
      </c>
      <c r="AE259" s="44" t="str">
        <f ca="1">IF(AE9&gt;WEEKNUM(TODAY())," ", IF(AND(AE10="x",SUM($AC258:AE258)&gt;$AC256),I9-(SUM($AC258:AE258)/SUM($AC256:$BG256)),IF(SUM($AC258:AE258)&gt;=$AC256," ",I9-(SUM($AC258:AE258)/(SUM($AC256:$BG256))))))</f>
        <v xml:space="preserve"> </v>
      </c>
      <c r="AF259" s="44" t="str">
        <f ca="1">IF(AF9&gt;WEEKNUM(TODAY())," ", IF(AND(AF10="x",SUM($AC258:AF258)&gt;$AC256),J9-(SUM($AC258:AF258)/SUM($AC256:$BG256)),IF(SUM($AC258:AF258)&gt;=$AC256," ",J9-(SUM($AC258:AF258)/(SUM($AC256:$BG256))))))</f>
        <v xml:space="preserve"> </v>
      </c>
      <c r="AG259" s="44" t="str">
        <f ca="1">IF(AG9&gt;WEEKNUM(TODAY())," ", IF(AND(AG10="x",SUM($AC258:AG258)&gt;$AC256),K9-(SUM($AC258:AG258)/SUM($AC256:$BG256)),IF(SUM($AC258:AG258)&gt;=$AC256," ",K9-(SUM($AC258:AG258)/(SUM($AC256:$BG256))))))</f>
        <v xml:space="preserve"> </v>
      </c>
      <c r="AH259" s="44" t="str">
        <f ca="1">IF(AH9&gt;WEEKNUM(TODAY())," ", IF(AND(AH10="x",SUM($AC258:AH258)&gt;$AC256),L9-(SUM($AC258:AH258)/SUM($AC256:$BG256)),IF(SUM($AC258:AH258)&gt;=$AC256," ",L9-(SUM($AC258:AH258)/(SUM($AC256:$BG256))))))</f>
        <v xml:space="preserve"> </v>
      </c>
      <c r="AI259" s="44" t="str">
        <f ca="1">IF(AI9&gt;WEEKNUM(TODAY())," ", IF(AND(AI10="x",SUM($AC258:AI258)&gt;$AC256),M9-(SUM($AC258:AI258)/SUM($AC256:$BG256)),IF(SUM($AC258:AI258)&gt;=$AC256," ",M9-(SUM($AC258:AI258)/(SUM($AC256:$BG256))))))</f>
        <v xml:space="preserve"> </v>
      </c>
      <c r="AJ259" s="44" t="str">
        <f ca="1">IF(AJ9&gt;WEEKNUM(TODAY())," ", IF(AND(AJ10="x",SUM($AC258:AJ258)&gt;$AC256),N9-(SUM($AC258:AJ258)/SUM($AC256:$BG256)),IF(SUM($AC258:AJ258)&gt;=$AC256," ",N9-(SUM($AC258:AJ258)/(SUM($AC256:$BG256))))))</f>
        <v xml:space="preserve"> </v>
      </c>
      <c r="AK259" s="44" t="str">
        <f ca="1">IF(AK9&gt;WEEKNUM(TODAY())," ", IF(AND(AK10="x",SUM($AC258:AK258)&gt;$AC256),O9-(SUM($AC258:AK258)/SUM($AC256:$BG256)),IF(SUM($AC258:AK258)&gt;=$AC256," ",O9-(SUM($AC258:AK258)/(SUM($AC256:$BG256))))))</f>
        <v xml:space="preserve"> </v>
      </c>
      <c r="AL259" s="44" t="str">
        <f ca="1">IF(AL9&gt;WEEKNUM(TODAY())," ", IF(AND(AL10="x",SUM($AC258:AL258)&gt;$AC256),P9-(SUM($AC258:AL258)/SUM($AC256:$BG256)),IF(SUM($AC258:AL258)&gt;=$AC256," ",P9-(SUM($AC258:AL258)/(SUM($AC256:$BG256))))))</f>
        <v xml:space="preserve"> </v>
      </c>
      <c r="AM259" s="44" t="str">
        <f ca="1">IF(AM9&gt;WEEKNUM(TODAY())," ", IF(AND(AM10="x",SUM($AC258:AM258)&gt;$AC256),Q9-(SUM($AC258:AM258)/SUM($AC256:$BG256)),IF(SUM($AC258:AM258)&gt;=$AC256," ",Q9-(SUM($AC258:AM258)/(SUM($AC256:$BG256))))))</f>
        <v xml:space="preserve"> </v>
      </c>
      <c r="AN259" s="44" t="str">
        <f ca="1">IF(AN9&gt;WEEKNUM(TODAY())," ", IF(AND(AN10="x",SUM($AC258:AN258)&gt;$AC256),R9-(SUM($AC258:AN258)/SUM($AC256:$BG256)),IF(SUM($AC258:AN258)&gt;=$AC256," ",R9-(SUM($AC258:AN258)/(SUM($AC256:$BG256))))))</f>
        <v xml:space="preserve"> </v>
      </c>
      <c r="AO259" s="44" t="str">
        <f ca="1">IF(AO9&gt;WEEKNUM(TODAY())," ", IF(AND(AO10="x",SUM($AC258:AO258)&gt;$AC256),S9-(SUM($AC258:AO258)/SUM($AC256:$BG256)),IF(SUM($AC258:AO258)&gt;=$AC256," ",S9-(SUM($AC258:AO258)/(SUM($AC256:$BG256))))))</f>
        <v xml:space="preserve"> </v>
      </c>
      <c r="AP259" s="44" t="str">
        <f ca="1">IF(AP9&gt;WEEKNUM(TODAY())," ", IF(AND(AP10="x",SUM($AC258:AP258)&gt;$AC256),T9-(SUM($AC258:AP258)/SUM($AC256:$BG256)),IF(SUM($AC258:AP258)&gt;=$AC256," ",T9-(SUM($AC258:AP258)/(SUM($AC256:$BG256))))))</f>
        <v xml:space="preserve"> </v>
      </c>
      <c r="AQ259" s="44" t="str">
        <f ca="1">IF(AQ9&gt;WEEKNUM(TODAY())," ", IF(AND(AQ10="x",SUM($AC258:AQ258)&gt;$AC256),U9-(SUM($AC258:AQ258)/SUM($AC256:$BG256)),IF(SUM($AC258:AQ258)&gt;=$AC256," ",U9-(SUM($AC258:AQ258)/(SUM($AC256:$BG256))))))</f>
        <v xml:space="preserve"> </v>
      </c>
      <c r="AR259" s="44" t="str">
        <f ca="1">IF(AR9&gt;WEEKNUM(TODAY())," ", IF(AND(AR10="x",SUM($AC258:AR258)&gt;$AC256),V9-(SUM($AC258:AR258)/SUM($AC256:$BG256)),IF(SUM($AC258:AR258)&gt;=$AC256," ",V9-(SUM($AC258:AR258)/(SUM($AC256:$BG256))))))</f>
        <v xml:space="preserve"> </v>
      </c>
      <c r="AS259" s="44" t="str">
        <f ca="1">IF(AS9&gt;WEEKNUM(TODAY())," ", IF(AND(AS10="x",SUM($AC258:AS258)&gt;$AC256),W9-(SUM($AC258:AS258)/SUM($AC256:$BG256)),IF(SUM($AC258:AS258)&gt;=$AC256," ",W9-(SUM($AC258:AS258)/(SUM($AC256:$BG256))))))</f>
        <v xml:space="preserve"> </v>
      </c>
      <c r="AT259" s="44" t="str">
        <f ca="1">IF(AT9&gt;WEEKNUM(TODAY())," ", IF(AND(AT10="x",SUM($AC258:AT258)&gt;$AC256),X9-(SUM($AC258:AT258)/SUM($AC256:$BG256)),IF(SUM($AC258:AT258)&gt;=$AC256," ",X9-(SUM($AC258:AT258)/(SUM($AC256:$BG256))))))</f>
        <v xml:space="preserve"> </v>
      </c>
      <c r="AU259" s="44" t="str">
        <f ca="1">IF(AU9&gt;WEEKNUM(TODAY())," ", IF(AND(AU10="x",SUM($AC258:AU258)&gt;$AC256),Y9-(SUM($AC258:AU258)/SUM($AC256:$BG256)),IF(SUM($AC258:AU258)&gt;=$AC256," ",Y9-(SUM($AC258:AU258)/(SUM($AC256:$BG256))))))</f>
        <v xml:space="preserve"> </v>
      </c>
      <c r="AV259" s="44" t="str">
        <f ca="1">IF(AV9&gt;WEEKNUM(TODAY())," ", IF(AND(AV10="x",SUM($AC258:AV258)&gt;$AC256),Z9-(SUM($AC258:AV258)/SUM($AC256:$BG256)),IF(SUM($AC258:AV258)&gt;=$AC256," ",Z9-(SUM($AC258:AV258)/(SUM($AC256:$BG256))))))</f>
        <v xml:space="preserve"> </v>
      </c>
      <c r="AW259" s="44" t="str">
        <f ca="1">IF(AW9&gt;WEEKNUM(TODAY())," ", IF(AND(AW10="x",SUM($AC258:AW258)&gt;$AC256),AA9-(SUM($AC258:AW258)/SUM($AC256:$BG256)),IF(SUM($AC258:AW258)&gt;=$AC256," ",AA9-(SUM($AC258:AW258)/(SUM($AC256:$BG256))))))</f>
        <v xml:space="preserve"> </v>
      </c>
      <c r="AX259" s="44" t="str">
        <f ca="1">IF(AX9&gt;WEEKNUM(TODAY())," ", IF(AND(AX10="x",SUM($AC258:AX258)&gt;$AC256),AB9-(SUM($AC258:AX258)/SUM($AC256:$BG256)),IF(SUM($AC258:AX258)&gt;=$AC256," ",AB9-(SUM($AC258:AX258)/(SUM($AC256:$BG256))))))</f>
        <v xml:space="preserve"> </v>
      </c>
      <c r="AY259" s="44" t="str">
        <f ca="1">IF(AY9&gt;WEEKNUM(TODAY())," ", IF(AND(AY10="x",SUM($AC258:AY258)&gt;$AC256),AC9-(SUM($AC258:AY258)/SUM($AC256:$BG256)),IF(SUM($AC258:AY258)&gt;=$AC256," ",AC9-(SUM($AC258:AY258)/(SUM($AC256:$BG256))))))</f>
        <v xml:space="preserve"> </v>
      </c>
      <c r="AZ259" s="44" t="str">
        <f ca="1">IF(AZ9&gt;WEEKNUM(TODAY())," ", IF(AND(AZ10="x",SUM($AC258:AZ258)&gt;$AC256),AD9-(SUM($AC258:AZ258)/SUM($AC256:$BG256)),IF(SUM($AC258:AZ258)&gt;=$AC256," ",AD9-(SUM($AC258:AZ258)/(SUM($AC256:$BG256))))))</f>
        <v xml:space="preserve"> </v>
      </c>
      <c r="BA259" s="44" t="str">
        <f ca="1">IF(BA9&gt;WEEKNUM(TODAY())," ", IF(AND(BA10="x",SUM($AC258:BA258)&gt;$AC256),AE9-(SUM($AC258:BA258)/SUM($AC256:$BG256)),IF(SUM($AC258:BA258)&gt;=$AC256," ",AE9-(SUM($AC258:BA258)/(SUM($AC256:$BG256))))))</f>
        <v xml:space="preserve"> </v>
      </c>
      <c r="BB259" s="44" t="str">
        <f ca="1">IF(BB9&gt;WEEKNUM(TODAY())," ", IF(AND(BB10="x",SUM($AC258:BB258)&gt;$AC256),AF9-(SUM($AC258:BB258)/SUM($AC256:$BG256)),IF(SUM($AC258:BB258)&gt;=$AC256," ",AF9-(SUM($AC258:BB258)/(SUM($AC256:$BG256))))))</f>
        <v xml:space="preserve"> </v>
      </c>
      <c r="BC259" s="44" t="str">
        <f ca="1">IF(BC9&gt;WEEKNUM(TODAY())," ", IF(AND(BC10="x",SUM($AC258:BC258)&gt;$AC256),AG9-(SUM($AC258:BC258)/SUM($AC256:$BG256)),IF(SUM($AC258:BC258)&gt;=$AC256," ",AG9-(SUM($AC258:BC258)/(SUM($AC256:$BG256))))))</f>
        <v xml:space="preserve"> </v>
      </c>
      <c r="BD259" s="44" t="str">
        <f ca="1">IF(BD9&gt;WEEKNUM(TODAY())," ", IF(AND(BD10="x",SUM($AC258:BD258)&gt;$AC256),AH9-(SUM($AC258:BD258)/SUM($AC256:$BG256)),IF(SUM($AC258:BD258)&gt;=$AC256," ",AH9-(SUM($AC258:BD258)/(SUM($AC256:$BG256))))))</f>
        <v xml:space="preserve"> </v>
      </c>
      <c r="BE259" s="44" t="str">
        <f ca="1">IF(BE9&gt;WEEKNUM(TODAY())," ", IF(AND(BE10="x",SUM($AC258:BE258)&gt;$AC256),AI9-(SUM($AC258:BE258)/SUM($AC256:$BG256)),IF(SUM($AC258:BE258)&gt;=$AC256," ",AI9-(SUM($AC258:BE258)/(SUM($AC256:$BG256))))))</f>
        <v xml:space="preserve"> </v>
      </c>
      <c r="BF259" s="44" t="str">
        <f ca="1">IF(BF9&gt;WEEKNUM(TODAY())," ", IF(AND(BF10="x",SUM($AC258:BF258)&gt;$AC256),AJ9-(SUM($AC258:BF258)/SUM($AC256:$BG256)),IF(SUM($AC258:BF258)&gt;=$AC256," ",AJ9-(SUM($AC258:BF258)/(SUM($AC256:$BG256))))))</f>
        <v xml:space="preserve"> </v>
      </c>
      <c r="BG259" s="44" t="str">
        <f ca="1">IF(BG9&gt;WEEKNUM(TODAY())," ", IF(AND(BG10="x",SUM($AC258:BG258)&gt;$AC256),AK9-(SUM($AC258:BG258)/SUM($AC256:$BG256)),IF(SUM($AC258:BG258)&gt;=$AC256," ",AK9-(SUM($AC258:BG258)/(SUM($AC256:$BG256))))))</f>
        <v xml:space="preserve"> </v>
      </c>
      <c r="BH259" s="21"/>
    </row>
    <row r="260" spans="2:60" ht="16.2" thickBot="1" x14ac:dyDescent="0.35">
      <c r="B260" s="70"/>
      <c r="C260" s="79"/>
      <c r="D260" s="84"/>
      <c r="E260" s="57"/>
      <c r="F260" s="117"/>
      <c r="H260" s="49" t="str">
        <f>IF(H256= " ", " ",IF(H258&gt;SUM($H256:$BG256), " N/A", IF(SUM($H258:$BG258)=SUM($H256:BG256), " ", IF(H258=SUM($H256:BG256), " ", "x"))))</f>
        <v xml:space="preserve"> </v>
      </c>
      <c r="I260" s="50" t="str">
        <f>IF(SUM($H258:I258) &gt; SUM($H256:I256),  " N/A", IF(SUM($H258:$BG258) = SUM($H256:$BH256),    " ",IF(I258 = SUM($H256:$BH256),  " ",   "x")))</f>
        <v xml:space="preserve"> </v>
      </c>
      <c r="J260" s="50" t="str">
        <f>IF(SUM($H258:J258) &gt; SUM($H256:J256),  " N/A", IF(SUM($H258:$BG258) = SUM($H256:$BH256),    " ",IF(J258 = SUM($H256:$BH256),  " ",   "x")))</f>
        <v xml:space="preserve"> </v>
      </c>
      <c r="K260" s="50" t="str">
        <f>IF(SUM($H258:K258) &gt; SUM($H256:K256),  " N/A", IF(SUM($H258:$BG258) = SUM($H256:$BH256),    " ",IF(K258 = SUM($H256:$BH256),  " ",   "x")))</f>
        <v xml:space="preserve"> </v>
      </c>
      <c r="L260" s="50" t="str">
        <f>IF(SUM($H258:L258) &gt; SUM($H256:L256),  " N/A", IF(SUM($H258:$BG258) = SUM($H256:$BH256),    " ",IF(L258 = SUM($H256:$BH256),  " ",   "x")))</f>
        <v xml:space="preserve"> </v>
      </c>
      <c r="M260" s="50" t="str">
        <f>IF(SUM($H258:M258) &gt; SUM($H256:M256),  " N/A", IF(SUM($H258:$BG258) = SUM($H256:$BH256),    " ",IF(M258 = SUM($H256:$BH256),  " ",   "x")))</f>
        <v xml:space="preserve"> </v>
      </c>
      <c r="N260" s="50" t="str">
        <f>IF(SUM($H258:N258) &gt; SUM($H256:N256),  " N/A", IF(SUM($H258:$BG258) = SUM($H256:$BH256),    " ",IF(N258 = SUM($H256:$BH256),  " ",   "x")))</f>
        <v xml:space="preserve"> </v>
      </c>
      <c r="O260" s="50" t="str">
        <f>IF(SUM($H258:O258) &gt; SUM($H256:O256),  " N/A", IF(SUM($H258:$BG258) = SUM($H256:$BH256),    " ",IF(O258 = SUM($H256:$BH256),  " ",   "x")))</f>
        <v xml:space="preserve"> </v>
      </c>
      <c r="P260" s="50" t="str">
        <f>IF(SUM($H258:P258) &gt; SUM($H256:P256),  " N/A", IF(SUM($H258:$BG258) = SUM($H256:$BH256),    " ",IF(P258 = SUM($H256:$BH256),  " ",   "x")))</f>
        <v xml:space="preserve"> </v>
      </c>
      <c r="Q260" s="50" t="str">
        <f>IF(SUM($H258:Q258) &gt; SUM($H256:Q256),  " N/A", IF(SUM($H258:$BG258) = SUM($H256:$BH256),    " ",IF(Q258 = SUM($H256:$BH256),  " ",   "x")))</f>
        <v xml:space="preserve"> </v>
      </c>
      <c r="R260" s="50" t="str">
        <f>IF(SUM($H258:R258) &gt; SUM($H256:R256),  " N/A", IF(SUM($H258:$BG258) = SUM($H256:$BH256),    " ",IF(R258 = SUM($H256:$BH256),  " ",   "x")))</f>
        <v xml:space="preserve"> </v>
      </c>
      <c r="S260" s="50" t="str">
        <f>IF(SUM($H258:S258) &gt; SUM($H256:S256),  " N/A", IF(SUM($H258:$BG258) = SUM($H256:$BH256),    " ",IF(S258 = SUM($H256:$BH256),  " ",   "x")))</f>
        <v xml:space="preserve"> </v>
      </c>
      <c r="T260" s="50" t="str">
        <f>IF(SUM($H258:T258) &gt; SUM($H256:T256),  " N/A", IF(SUM($H258:$BG258) = SUM($H256:$BH256),    " ",IF(T258 = SUM($H256:$BH256),  " ",   "x")))</f>
        <v xml:space="preserve"> </v>
      </c>
      <c r="U260" s="50" t="str">
        <f>IF(SUM($H258:U258) &gt; SUM($H256:U256),  " N/A", IF(SUM($H258:$BG258) = SUM($H256:$BH256),    " ",IF(U258 = SUM($H256:$BH256),  " ",   "x")))</f>
        <v xml:space="preserve"> </v>
      </c>
      <c r="V260" s="50" t="str">
        <f>IF(SUM($H258:V258) &gt; SUM($H256:V256),  " N/A", IF(SUM($H258:$BG258) = SUM($H256:$BH256),    " ",IF(V258 = SUM($H256:$BH256),  " ",   "x")))</f>
        <v xml:space="preserve"> </v>
      </c>
      <c r="W260" s="50" t="str">
        <f>IF(SUM($H258:W258) &gt; SUM($H256:W256),  " N/A", IF(SUM($H258:$BG258) = SUM($H256:$BH256),    " ",IF(W258 = SUM($H256:$BH256),  " ",   "x")))</f>
        <v xml:space="preserve"> </v>
      </c>
      <c r="X260" s="50" t="str">
        <f>IF(SUM($H258:X258) &gt; SUM($H256:X256),  " N/A", IF(SUM($H258:$BG258) = SUM($H256:$BH256),    " ",IF(X258 = SUM($H256:$BH256),  " ",   "x")))</f>
        <v xml:space="preserve"> </v>
      </c>
      <c r="Y260" s="50" t="str">
        <f>IF(SUM($H258:Y258) &gt; SUM($H256:Y256),  " N/A", IF(SUM($H258:$BG258) = SUM($H256:$BH256),    " ",IF(Y258 = SUM($H256:$BH256),  " ",   "x")))</f>
        <v xml:space="preserve"> </v>
      </c>
      <c r="Z260" s="50" t="str">
        <f>IF(SUM($H258:Z258) &gt; SUM($H256:Z256),  " N/A", IF(SUM($H258:$BG258) = SUM($H256:$BH256),    " ",IF(Z258 = SUM($H256:$BH256),  " ",   "x")))</f>
        <v xml:space="preserve"> </v>
      </c>
      <c r="AA260" s="50" t="str">
        <f>IF(SUM($H258:AA258) &gt; SUM($H256:AA256),  " N/A", IF(SUM($H258:$BG258) = SUM($H256:$BH256),    " ",IF(AA258 = SUM($H256:$BH256),  " ",   "x")))</f>
        <v xml:space="preserve"> </v>
      </c>
      <c r="AB260" s="50" t="str">
        <f>IF(SUM($H258:AB258) &gt; SUM($H256:AB256),  " N/A", IF(SUM($H258:$BG258) = SUM($H256:$BH256),    " ",IF(AB258 = SUM($H256:$BH256),  " ",   "x")))</f>
        <v xml:space="preserve"> </v>
      </c>
      <c r="AC260" s="50" t="str">
        <f>IF(SUM($H258:AC258) &gt; SUM($H256:AC256),  " N/A", IF(SUM($H258:$BG258) = SUM($H256:$BH256),    " ",IF(AC258 = SUM($H256:$BH256),  " ",   "x")))</f>
        <v xml:space="preserve"> </v>
      </c>
      <c r="AD260" s="50" t="str">
        <f>IF(SUM($H258:AD258) &gt; SUM($H256:AD256),  " N/A", IF(SUM($H258:$BG258) = SUM($H256:$BH256),    " ",IF(AD258 = SUM($H256:$BH256),  " ",   "x")))</f>
        <v xml:space="preserve"> </v>
      </c>
      <c r="AE260" s="50" t="str">
        <f>IF(SUM($H258:AE258) &gt; SUM($H256:AE256),  " N/A", IF(SUM($H258:$BG258) = SUM($H256:$BH256),    " ",IF(AE258 = SUM($H256:$BH256),  " ",   "x")))</f>
        <v xml:space="preserve"> </v>
      </c>
      <c r="AF260" s="50" t="str">
        <f>IF(SUM($H258:AF258) &gt; SUM($H256:AF256),  " N/A", IF(SUM($H258:$BG258) = SUM($H256:$BH256),    " ",IF(AF258 = SUM($H256:$BH256),  " ",   "x")))</f>
        <v xml:space="preserve"> </v>
      </c>
      <c r="AG260" s="50" t="str">
        <f>IF(SUM($H258:AG258) &gt; SUM($H256:AG256),  " N/A", IF(SUM($H258:$BG258) = SUM($H256:$BH256),    " ",IF(AG258 = SUM($H256:$BH256),  " ",   "x")))</f>
        <v xml:space="preserve"> </v>
      </c>
      <c r="AH260" s="50" t="str">
        <f>IF(SUM($H258:AH258) &gt; SUM($H256:AH256),  " N/A", IF(SUM($H258:$BG258) = SUM($H256:$BH256),    " ",IF(AH258 = SUM($H256:$BH256),  " ",   "x")))</f>
        <v xml:space="preserve"> </v>
      </c>
      <c r="AI260" s="50" t="str">
        <f>IF(SUM($H258:AI258) &gt; SUM($H256:AI256),  " N/A", IF(SUM($H258:$BG258) = SUM($H256:$BH256),    " ",IF(AI258 = SUM($H256:$BH256),  " ",   "x")))</f>
        <v xml:space="preserve"> </v>
      </c>
      <c r="AJ260" s="50" t="str">
        <f>IF(SUM($H258:AJ258) &gt; SUM($H256:AJ256),  " N/A", IF(SUM($H258:$BG258) = SUM($H256:$BH256),    " ",IF(AJ258 = SUM($H256:$BH256),  " ",   "x")))</f>
        <v xml:space="preserve"> </v>
      </c>
      <c r="AK260" s="50" t="str">
        <f>IF(SUM($H258:AK258) &gt; SUM($H256:AK256),  " N/A", IF(SUM($H258:$BG258) = SUM($H256:$BH256),    " ",IF(AK258 = SUM($H256:$BH256),  " ",   "x")))</f>
        <v xml:space="preserve"> </v>
      </c>
      <c r="AL260" s="50" t="str">
        <f>IF(SUM($H258:AL258) &gt; SUM($H256:AL256),  " N/A", IF(SUM($H258:$BG258) = SUM($H256:$BH256),    " ",IF(AL258 = SUM($H256:$BH256),  " ",   "x")))</f>
        <v xml:space="preserve"> </v>
      </c>
      <c r="AM260" s="50" t="str">
        <f>IF(SUM($H258:AM258) &gt; SUM($H256:AM256),  " N/A", IF(SUM($H258:$BG258) = SUM($H256:$BH256),    " ",IF(AM258 = SUM($H256:$BH256),  " ",   "x")))</f>
        <v xml:space="preserve"> </v>
      </c>
      <c r="AN260" s="50" t="str">
        <f>IF(SUM($H258:AN258) &gt; SUM($H256:AN256),  " N/A", IF(SUM($H258:$BG258) = SUM($H256:$BH256),    " ",IF(AN258 = SUM($H256:$BH256),  " ",   "x")))</f>
        <v xml:space="preserve"> </v>
      </c>
      <c r="AO260" s="50" t="str">
        <f>IF(SUM($H258:AO258) &gt; SUM($H256:AO256),  " N/A", IF(SUM($H258:$BG258) = SUM($H256:$BH256),    " ",IF(AO258 = SUM($H256:$BH256),  " ",   "x")))</f>
        <v xml:space="preserve"> </v>
      </c>
      <c r="AP260" s="50" t="str">
        <f>IF(SUM($H258:AP258) &gt; SUM($H256:AP256),  " N/A", IF(SUM($H258:$BG258) = SUM($H256:$BH256),    " ",IF(AP258 = SUM($H256:$BH256),  " ",   "x")))</f>
        <v xml:space="preserve"> </v>
      </c>
      <c r="AQ260" s="50" t="str">
        <f>IF(SUM($H258:AQ258) &gt; SUM($H256:AQ256),  " N/A", IF(SUM($H258:$BG258) = SUM($H256:$BH256),    " ",IF(AQ258 = SUM($H256:$BH256),  " ",   "x")))</f>
        <v xml:space="preserve"> </v>
      </c>
      <c r="AR260" s="50" t="str">
        <f>IF(SUM($H258:AR258) &gt; SUM($H256:AR256),  " N/A", IF(SUM($H258:$BG258) = SUM($H256:$BH256),    " ",IF(AR258 = SUM($H256:$BH256),  " ",   "x")))</f>
        <v xml:space="preserve"> </v>
      </c>
      <c r="AS260" s="50" t="str">
        <f>IF(SUM($H258:AS258) &gt; SUM($H256:AS256),  " N/A", IF(SUM($H258:$BG258) = SUM($H256:$BH256),    " ",IF(AS258 = SUM($H256:$BH256),  " ",   "x")))</f>
        <v xml:space="preserve"> </v>
      </c>
      <c r="AT260" s="50" t="str">
        <f>IF(SUM($H258:AT258) &gt; SUM($H256:AT256),  " N/A", IF(SUM($H258:$BG258) = SUM($H256:$BH256),    " ",IF(AT258 = SUM($H256:$BH256),  " ",   "x")))</f>
        <v xml:space="preserve"> </v>
      </c>
      <c r="AU260" s="50" t="str">
        <f>IF(SUM($H258:AU258) &gt; SUM($H256:AU256),  " N/A", IF(SUM($H258:$BG258) = SUM($H256:$BH256),    " ",IF(AU258 = SUM($H256:$BH256),  " ",   "x")))</f>
        <v xml:space="preserve"> </v>
      </c>
      <c r="AV260" s="50" t="str">
        <f>IF(SUM($H258:AV258) &gt; SUM($H256:AV256),  " N/A", IF(SUM($H258:$BG258) = SUM($H256:$BH256),    " ",IF(AV258 = SUM($H256:$BH256),  " ",   "x")))</f>
        <v xml:space="preserve"> </v>
      </c>
      <c r="AW260" s="50" t="str">
        <f>IF(SUM($H258:AW258) &gt; SUM($H256:AW256),  " N/A", IF(SUM($H258:$BG258) = SUM($H256:$BH256),    " ",IF(AW258 = SUM($H256:$BH256),  " ",   "x")))</f>
        <v xml:space="preserve"> </v>
      </c>
      <c r="AX260" s="50" t="str">
        <f>IF(SUM($H258:AX258) &gt; SUM($H256:AX256),  " N/A", IF(SUM($H258:$BG258) = SUM($H256:$BH256),    " ",IF(AX258 = SUM($H256:$BH256),  " ",   "x")))</f>
        <v xml:space="preserve"> </v>
      </c>
      <c r="AY260" s="50" t="str">
        <f>IF(SUM($H258:AY258) &gt; SUM($H256:AY256),  " N/A", IF(SUM($H258:$BG258) = SUM($H256:$BH256),    " ",IF(AY258 = SUM($H256:$BH256),  " ",   "x")))</f>
        <v xml:space="preserve"> </v>
      </c>
      <c r="AZ260" s="50" t="str">
        <f>IF(SUM($H258:AZ258) &gt; SUM($H256:AZ256),  " N/A", IF(SUM($H258:$BG258) = SUM($H256:$BH256),    " ",IF(AZ258 = SUM($H256:$BH256),  " ",   "x")))</f>
        <v xml:space="preserve"> </v>
      </c>
      <c r="BA260" s="50" t="str">
        <f>IF(SUM($H258:BA258) &gt; SUM($H256:BA256),  " N/A", IF(SUM($H258:$BG258) = SUM($H256:$BH256),    " ",IF(BA258 = SUM($H256:$BH256),  " ",   "x")))</f>
        <v xml:space="preserve"> </v>
      </c>
      <c r="BB260" s="50" t="str">
        <f>IF(SUM($H258:BB258) &gt; SUM($H256:BB256),  " N/A", IF(SUM($H258:$BG258) = SUM($H256:$BH256),    " ",IF(BB258 = SUM($H256:$BH256),  " ",   "x")))</f>
        <v xml:space="preserve"> </v>
      </c>
      <c r="BC260" s="50" t="str">
        <f>IF(SUM($H258:BC258) &gt; SUM($H256:BC256),  " N/A", IF(SUM($H258:$BG258) = SUM($H256:$BH256),    " ",IF(BC258 = SUM($H256:$BH256),  " ",   "x")))</f>
        <v xml:space="preserve"> </v>
      </c>
      <c r="BD260" s="50" t="str">
        <f>IF(SUM($H258:BD258) &gt; SUM($H256:BD256),  " N/A", IF(SUM($H258:$BG258) = SUM($H256:$BH256),    " ",IF(BD258 = SUM($H256:$BH256),  " ",   "x")))</f>
        <v xml:space="preserve"> </v>
      </c>
      <c r="BE260" s="50" t="str">
        <f>IF(SUM($H258:BE258) &gt; SUM($H256:BE256),  " N/A", IF(SUM($H258:$BG258) = SUM($H256:$BH256),    " ",IF(BE258 = SUM($H256:$BH256),  " ",   "x")))</f>
        <v xml:space="preserve"> </v>
      </c>
      <c r="BF260" s="50" t="str">
        <f>IF(SUM($H258:BF258) &gt; SUM($H256:BF256),  " N/A", IF(SUM($H258:$BG258) = SUM($H256:$BH256),    " ",IF(BF258 = SUM($H256:$BH256),  " ",   "x")))</f>
        <v xml:space="preserve"> </v>
      </c>
      <c r="BG260" s="50" t="str">
        <f>IF(SUM($H258:BG258) &gt; SUM($H256:BG256),  " N/A", IF(SUM($H258:$BG258) = SUM($H256:$BH256),    " ",IF(BG258 = SUM($H256:$BH256),  " ",   "x")))</f>
        <v xml:space="preserve"> </v>
      </c>
      <c r="BH260" s="21"/>
    </row>
    <row r="261" spans="2:60" ht="15.6" x14ac:dyDescent="0.3">
      <c r="B261" s="71"/>
      <c r="C261" s="77"/>
      <c r="D261" s="82" t="s">
        <v>249</v>
      </c>
      <c r="E261" s="54">
        <f>SUM(H261:BG261)</f>
        <v>16</v>
      </c>
      <c r="F261" s="115">
        <f>Gant_24!$E261-E263</f>
        <v>0</v>
      </c>
      <c r="H261" s="41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>
        <v>16</v>
      </c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21"/>
    </row>
    <row r="262" spans="2:60" ht="15.6" x14ac:dyDescent="0.3">
      <c r="B262" s="68"/>
      <c r="C262" s="78"/>
      <c r="D262" s="83" t="s">
        <v>261</v>
      </c>
      <c r="E262" s="55">
        <f>SUM(H262:BG262)</f>
        <v>0</v>
      </c>
      <c r="F262" s="116"/>
      <c r="H262" s="43"/>
      <c r="I262" s="44"/>
      <c r="J262" s="44"/>
      <c r="K262" s="44"/>
      <c r="L262" s="44"/>
      <c r="M262" s="44"/>
      <c r="N262" s="44"/>
      <c r="O262" s="44"/>
      <c r="P262" s="44"/>
      <c r="Q262" s="44"/>
      <c r="R262" s="44"/>
      <c r="S262" s="44"/>
      <c r="T262" s="44"/>
      <c r="U262" s="44"/>
      <c r="V262" s="44"/>
      <c r="W262" s="44"/>
      <c r="X262" s="44"/>
      <c r="Y262" s="44"/>
      <c r="Z262" s="44"/>
      <c r="AA262" s="44"/>
      <c r="AB262" s="44"/>
      <c r="AC262" s="44"/>
      <c r="AD262" s="44"/>
      <c r="AE262" s="44"/>
      <c r="AF262" s="44"/>
      <c r="AG262" s="44"/>
      <c r="AH262" s="44"/>
      <c r="AI262" s="44"/>
      <c r="AJ262" s="44"/>
      <c r="AK262" s="44"/>
      <c r="AL262" s="44"/>
      <c r="AM262" s="44"/>
      <c r="AN262" s="44"/>
      <c r="AO262" s="44"/>
      <c r="AP262" s="44"/>
      <c r="AQ262" s="44"/>
      <c r="AR262" s="44"/>
      <c r="AS262" s="44"/>
      <c r="AT262" s="44"/>
      <c r="AU262" s="44"/>
      <c r="AV262" s="44"/>
      <c r="AW262" s="44"/>
      <c r="AX262" s="44"/>
      <c r="AY262" s="44"/>
      <c r="AZ262" s="44"/>
      <c r="BA262" s="44"/>
      <c r="BB262" s="44"/>
      <c r="BC262" s="44"/>
      <c r="BD262" s="44"/>
      <c r="BE262" s="44"/>
      <c r="BF262" s="44"/>
      <c r="BG262" s="44"/>
      <c r="BH262" s="21"/>
    </row>
    <row r="263" spans="2:60" ht="15.6" x14ac:dyDescent="0.3">
      <c r="B263" s="68" t="s">
        <v>211</v>
      </c>
      <c r="C263" s="78" t="s">
        <v>212</v>
      </c>
      <c r="D263" s="83" t="s">
        <v>241</v>
      </c>
      <c r="E263" s="55">
        <f>SUM(H263:BG263)</f>
        <v>16</v>
      </c>
      <c r="F263" s="116"/>
      <c r="H263" s="45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  <c r="AG263" s="46"/>
      <c r="AH263" s="46">
        <v>16</v>
      </c>
      <c r="AI263" s="46"/>
      <c r="AJ263" s="46"/>
      <c r="AK263" s="46"/>
      <c r="AL263" s="46"/>
      <c r="AM263" s="46"/>
      <c r="AN263" s="46"/>
      <c r="AO263" s="46"/>
      <c r="AP263" s="46"/>
      <c r="AQ263" s="46"/>
      <c r="AR263" s="46"/>
      <c r="AS263" s="46"/>
      <c r="AT263" s="46"/>
      <c r="AU263" s="46"/>
      <c r="AV263" s="46"/>
      <c r="AW263" s="46"/>
      <c r="AX263" s="46"/>
      <c r="AY263" s="46"/>
      <c r="AZ263" s="46"/>
      <c r="BA263" s="46"/>
      <c r="BB263" s="46"/>
      <c r="BC263" s="46"/>
      <c r="BD263" s="46"/>
      <c r="BE263" s="46"/>
      <c r="BF263" s="46"/>
      <c r="BG263" s="46"/>
      <c r="BH263" s="21"/>
    </row>
    <row r="264" spans="2:60" ht="15.6" x14ac:dyDescent="0.3">
      <c r="B264" s="68"/>
      <c r="C264" s="78"/>
      <c r="D264" s="83" t="s">
        <v>278</v>
      </c>
      <c r="E264" s="56">
        <f ca="1">MAX(H264:BG264)</f>
        <v>0</v>
      </c>
      <c r="F264" s="116"/>
      <c r="H264" s="47"/>
      <c r="I264" s="48"/>
      <c r="J264" s="48"/>
      <c r="K264" s="48"/>
      <c r="L264" s="44"/>
      <c r="M264" s="44"/>
      <c r="N264" s="44"/>
      <c r="O264" s="44"/>
      <c r="P264" s="44"/>
      <c r="Q264" s="44"/>
      <c r="R264" s="44"/>
      <c r="S264" s="44"/>
      <c r="T264" s="44"/>
      <c r="U264" s="44"/>
      <c r="V264" s="44"/>
      <c r="W264" s="44"/>
      <c r="X264" s="44"/>
      <c r="Y264" s="44"/>
      <c r="Z264" s="44"/>
      <c r="AA264" s="44"/>
      <c r="AB264" s="44"/>
      <c r="AC264" s="44"/>
      <c r="AD264" s="44"/>
      <c r="AE264" s="44" t="str">
        <f>IF(SUM(H261:BG261) = AE263, " 0 ", " ")</f>
        <v xml:space="preserve"> </v>
      </c>
      <c r="AF264" s="44" t="str">
        <f ca="1">IF(AF9&gt;WEEKNUM(TODAY())," ", IF(AND(AF10="x",SUM($AE263:AF263)&gt;$AE261),H9-(SUM($AE263:AF263)/SUM($AE261:$BG261)),IF(SUM($AE263:AF263)&gt;=$AE261," ",H9-(SUM($AE263:AF263)/(SUM($AE261:$BG261))))))</f>
        <v xml:space="preserve"> </v>
      </c>
      <c r="AG264" s="44" t="str">
        <f ca="1">IF(AG9&gt;WEEKNUM(TODAY())," ", IF(AND(AG10="x",SUM($AE263:AG263)&gt;$AE261),I9-(SUM($AE263:AG263)/SUM($AE261:$BG261)),IF(SUM($AE263:AG263)&gt;=$AE261," ",I9-(SUM($AE263:AG263)/(SUM($AE261:$BG261))))))</f>
        <v xml:space="preserve"> </v>
      </c>
      <c r="AH264" s="44" t="str">
        <f ca="1">IF(AH9&gt;WEEKNUM(TODAY())," ", IF(AND(AH10="x",SUM($AE263:AH263)&gt;$AE261),J9-(SUM($AE263:AH263)/SUM($AE261:$BG261)),IF(SUM($AE263:AH263)&gt;=$AE261," ",J9-(SUM($AE263:AH263)/(SUM($AE261:$BG261))))))</f>
        <v xml:space="preserve"> </v>
      </c>
      <c r="AI264" s="44" t="str">
        <f ca="1">IF(AI9&gt;WEEKNUM(TODAY())," ", IF(AND(AI10="x",SUM($AE263:AI263)&gt;$AE261),K9-(SUM($AE263:AI263)/SUM($AE261:$BG261)),IF(SUM($AE263:AI263)&gt;=$AE261," ",K9-(SUM($AE263:AI263)/(SUM($AE261:$BG261))))))</f>
        <v xml:space="preserve"> </v>
      </c>
      <c r="AJ264" s="44" t="str">
        <f ca="1">IF(AJ9&gt;WEEKNUM(TODAY())," ", IF(AND(AJ10="x",SUM($AE263:AJ263)&gt;$AE261),L9-(SUM($AE263:AJ263)/SUM($AE261:$BG261)),IF(SUM($AE263:AJ263)&gt;=$AE261," ",L9-(SUM($AE263:AJ263)/(SUM($AE261:$BG261))))))</f>
        <v xml:space="preserve"> </v>
      </c>
      <c r="AK264" s="44" t="str">
        <f ca="1">IF(AK9&gt;WEEKNUM(TODAY())," ", IF(AND(AK10="x",SUM($AE263:AK263)&gt;$AE261),M9-(SUM($AE263:AK263)/SUM($AE261:$BG261)),IF(SUM($AE263:AK263)&gt;=$AE261," ",M9-(SUM($AE263:AK263)/(SUM($AE261:$BG261))))))</f>
        <v xml:space="preserve"> </v>
      </c>
      <c r="AL264" s="44" t="str">
        <f ca="1">IF(AL9&gt;WEEKNUM(TODAY())," ", IF(AND(AL10="x",SUM($AE263:AL263)&gt;$AE261),N9-(SUM($AE263:AL263)/SUM($AE261:$BG261)),IF(SUM($AE263:AL263)&gt;=$AE261," ",N9-(SUM($AE263:AL263)/(SUM($AE261:$BG261))))))</f>
        <v xml:space="preserve"> </v>
      </c>
      <c r="AM264" s="44" t="str">
        <f ca="1">IF(AM9&gt;WEEKNUM(TODAY())," ", IF(AND(AM10="x",SUM($AE263:AM263)&gt;$AE261),O9-(SUM($AE263:AM263)/SUM($AE261:$BG261)),IF(SUM($AE263:AM263)&gt;=$AE261," ",O9-(SUM($AE263:AM263)/(SUM($AE261:$BG261))))))</f>
        <v xml:space="preserve"> </v>
      </c>
      <c r="AN264" s="44" t="str">
        <f ca="1">IF(AN9&gt;WEEKNUM(TODAY())," ", IF(AND(AN10="x",SUM($AE263:AN263)&gt;$AE261),P9-(SUM($AE263:AN263)/SUM($AE261:$BG261)),IF(SUM($AE263:AN263)&gt;=$AE261," ",P9-(SUM($AE263:AN263)/(SUM($AE261:$BG261))))))</f>
        <v xml:space="preserve"> </v>
      </c>
      <c r="AO264" s="44" t="str">
        <f ca="1">IF(AO9&gt;WEEKNUM(TODAY())," ", IF(AND(AO10="x",SUM($AE263:AO263)&gt;$AE261),Q9-(SUM($AE263:AO263)/SUM($AE261:$BG261)),IF(SUM($AE263:AO263)&gt;=$AE261," ",Q9-(SUM($AE263:AO263)/(SUM($AE261:$BG261))))))</f>
        <v xml:space="preserve"> </v>
      </c>
      <c r="AP264" s="44" t="str">
        <f ca="1">IF(AP9&gt;WEEKNUM(TODAY())," ", IF(AND(AP10="x",SUM($AE263:AP263)&gt;$AE261),R9-(SUM($AE263:AP263)/SUM($AE261:$BG261)),IF(SUM($AE263:AP263)&gt;=$AE261," ",R9-(SUM($AE263:AP263)/(SUM($AE261:$BG261))))))</f>
        <v xml:space="preserve"> </v>
      </c>
      <c r="AQ264" s="44" t="str">
        <f ca="1">IF(AQ9&gt;WEEKNUM(TODAY())," ", IF(AND(AQ10="x",SUM($AE263:AQ263)&gt;$AE261),S9-(SUM($AE263:AQ263)/SUM($AE261:$BG261)),IF(SUM($AE263:AQ263)&gt;=$AE261," ",S9-(SUM($AE263:AQ263)/(SUM($AE261:$BG261))))))</f>
        <v xml:space="preserve"> </v>
      </c>
      <c r="AR264" s="44" t="str">
        <f ca="1">IF(AR9&gt;WEEKNUM(TODAY())," ", IF(AND(AR10="x",SUM($AE263:AR263)&gt;$AE261),T9-(SUM($AE263:AR263)/SUM($AE261:$BG261)),IF(SUM($AE263:AR263)&gt;=$AE261," ",T9-(SUM($AE263:AR263)/(SUM($AE261:$BG261))))))</f>
        <v xml:space="preserve"> </v>
      </c>
      <c r="AS264" s="44" t="str">
        <f ca="1">IF(AS9&gt;WEEKNUM(TODAY())," ", IF(AND(AS10="x",SUM($AE263:AS263)&gt;$AE261),U9-(SUM($AE263:AS263)/SUM($AE261:$BG261)),IF(SUM($AE263:AS263)&gt;=$AE261," ",U9-(SUM($AE263:AS263)/(SUM($AE261:$BG261))))))</f>
        <v xml:space="preserve"> </v>
      </c>
      <c r="AT264" s="44" t="str">
        <f ca="1">IF(AT9&gt;WEEKNUM(TODAY())," ", IF(AND(AT10="x",SUM($AE263:AT263)&gt;$AE261),V9-(SUM($AE263:AT263)/SUM($AE261:$BG261)),IF(SUM($AE263:AT263)&gt;=$AE261," ",V9-(SUM($AE263:AT263)/(SUM($AE261:$BG261))))))</f>
        <v xml:space="preserve"> </v>
      </c>
      <c r="AU264" s="44" t="str">
        <f ca="1">IF(AU9&gt;WEEKNUM(TODAY())," ", IF(AND(AU10="x",SUM($AE263:AU263)&gt;$AE261),W9-(SUM($AE263:AU263)/SUM($AE261:$BG261)),IF(SUM($AE263:AU263)&gt;=$AE261," ",W9-(SUM($AE263:AU263)/(SUM($AE261:$BG261))))))</f>
        <v xml:space="preserve"> </v>
      </c>
      <c r="AV264" s="44" t="str">
        <f ca="1">IF(AV9&gt;WEEKNUM(TODAY())," ", IF(AND(AV10="x",SUM($AE263:AV263)&gt;$AE261),X9-(SUM($AE263:AV263)/SUM($AE261:$BG261)),IF(SUM($AE263:AV263)&gt;=$AE261," ",X9-(SUM($AE263:AV263)/(SUM($AE261:$BG261))))))</f>
        <v xml:space="preserve"> </v>
      </c>
      <c r="AW264" s="44" t="str">
        <f ca="1">IF(AW9&gt;WEEKNUM(TODAY())," ", IF(AND(AW10="x",SUM($AE263:AW263)&gt;$AE261),Y9-(SUM($AE263:AW263)/SUM($AE261:$BG261)),IF(SUM($AE263:AW263)&gt;=$AE261," ",Y9-(SUM($AE263:AW263)/(SUM($AE261:$BG261))))))</f>
        <v xml:space="preserve"> </v>
      </c>
      <c r="AX264" s="44" t="str">
        <f ca="1">IF(AX9&gt;WEEKNUM(TODAY())," ", IF(AND(AX10="x",SUM($AE263:AX263)&gt;$AE261),Z9-(SUM($AE263:AX263)/SUM($AE261:$BG261)),IF(SUM($AE263:AX263)&gt;=$AE261," ",Z9-(SUM($AE263:AX263)/(SUM($AE261:$BG261))))))</f>
        <v xml:space="preserve"> </v>
      </c>
      <c r="AY264" s="44" t="str">
        <f ca="1">IF(AY9&gt;WEEKNUM(TODAY())," ", IF(AND(AY10="x",SUM($AE263:AY263)&gt;$AE261),AA9-(SUM($AE263:AY263)/SUM($AE261:$BG261)),IF(SUM($AE263:AY263)&gt;=$AE261," ",AA9-(SUM($AE263:AY263)/(SUM($AE261:$BG261))))))</f>
        <v xml:space="preserve"> </v>
      </c>
      <c r="AZ264" s="44" t="str">
        <f ca="1">IF(AZ9&gt;WEEKNUM(TODAY())," ", IF(AND(AZ10="x",SUM($AE263:AZ263)&gt;$AE261),AB9-(SUM($AE263:AZ263)/SUM($AE261:$BG261)),IF(SUM($AE263:AZ263)&gt;=$AE261," ",AB9-(SUM($AE263:AZ263)/(SUM($AE261:$BG261))))))</f>
        <v xml:space="preserve"> </v>
      </c>
      <c r="BA264" s="44" t="str">
        <f ca="1">IF(BA9&gt;WEEKNUM(TODAY())," ", IF(AND(BA10="x",SUM($AE263:BA263)&gt;$AE261),AC9-(SUM($AE263:BA263)/SUM($AE261:$BG261)),IF(SUM($AE263:BA263)&gt;=$AE261," ",AC9-(SUM($AE263:BA263)/(SUM($AE261:$BG261))))))</f>
        <v xml:space="preserve"> </v>
      </c>
      <c r="BB264" s="44" t="str">
        <f ca="1">IF(BB9&gt;WEEKNUM(TODAY())," ", IF(AND(BB10="x",SUM($AE263:BB263)&gt;$AE261),AD9-(SUM($AE263:BB263)/SUM($AE261:$BG261)),IF(SUM($AE263:BB263)&gt;=$AE261," ",AD9-(SUM($AE263:BB263)/(SUM($AE261:$BG261))))))</f>
        <v xml:space="preserve"> </v>
      </c>
      <c r="BC264" s="44" t="str">
        <f ca="1">IF(BC9&gt;WEEKNUM(TODAY())," ", IF(AND(BC10="x",SUM($AE263:BC263)&gt;$AE261),AE9-(SUM($AE263:BC263)/SUM($AE261:$BG261)),IF(SUM($AE263:BC263)&gt;=$AE261," ",AE9-(SUM($AE263:BC263)/(SUM($AE261:$BG261))))))</f>
        <v xml:space="preserve"> </v>
      </c>
      <c r="BD264" s="44" t="str">
        <f ca="1">IF(BD9&gt;WEEKNUM(TODAY())," ", IF(AND(BD10="x",SUM($AE263:BD263)&gt;$AE261),AF9-(SUM($AE263:BD263)/SUM($AE261:$BG261)),IF(SUM($AE263:BD263)&gt;=$AE261," ",AF9-(SUM($AE263:BD263)/(SUM($AE261:$BG261))))))</f>
        <v xml:space="preserve"> </v>
      </c>
      <c r="BE264" s="44" t="str">
        <f ca="1">IF(BE9&gt;WEEKNUM(TODAY())," ", IF(AND(BE10="x",SUM($AE263:BE263)&gt;$AE261),AG9-(SUM($AE263:BE263)/SUM($AE261:$BG261)),IF(SUM($AE263:BE263)&gt;=$AE261," ",AG9-(SUM($AE263:BE263)/(SUM($AE261:$BG261))))))</f>
        <v xml:space="preserve"> </v>
      </c>
      <c r="BF264" s="44" t="str">
        <f ca="1">IF(BF9&gt;WEEKNUM(TODAY())," ", IF(AND(BF10="x",SUM($AE263:BF263)&gt;$AE261),AH9-(SUM($AE263:BF263)/SUM($AE261:$BG261)),IF(SUM($AE263:BF263)&gt;=$AE261," ",AH9-(SUM($AE263:BF263)/(SUM($AE261:$BG261))))))</f>
        <v xml:space="preserve"> </v>
      </c>
      <c r="BG264" s="44" t="str">
        <f ca="1">IF(BG9&gt;WEEKNUM(TODAY())," ", IF(AND(BG10="x",SUM($AE263:BG263)&gt;$AE261),AI9-(SUM($AE263:BG263)/SUM($AE261:$BG261)),IF(SUM($AE263:BG263)&gt;=$AE261," ",AI9-(SUM($AE263:BG263)/(SUM($AE261:$BG261))))))</f>
        <v xml:space="preserve"> </v>
      </c>
      <c r="BH264" s="21"/>
    </row>
    <row r="265" spans="2:60" ht="16.2" thickBot="1" x14ac:dyDescent="0.35">
      <c r="B265" s="70"/>
      <c r="C265" s="79"/>
      <c r="D265" s="84"/>
      <c r="E265" s="57"/>
      <c r="F265" s="117"/>
      <c r="H265" s="49" t="str">
        <f>IF(H261= " ", " ",IF(H263&gt;SUM($H261:$BG261), " N/A", IF(SUM($H263:$BG263)=SUM($H261:BG261), " ", IF(H263=SUM($H261:BG261), " ", "x"))))</f>
        <v xml:space="preserve"> </v>
      </c>
      <c r="I265" s="50" t="str">
        <f>IF(SUM($H263:I263) &gt; SUM($H261:I261),  " N/A", IF(SUM($H263:$BG263) = SUM($H261:$BH261),    " ",IF(I263 = SUM($H261:$BH261),  " ",   "x")))</f>
        <v xml:space="preserve"> </v>
      </c>
      <c r="J265" s="50" t="str">
        <f>IF(SUM($H263:J263) &gt; SUM($H261:J261),  " N/A", IF(SUM($H263:$BG263) = SUM($H261:$BH261),    " ",IF(J263 = SUM($H261:$BH261),  " ",   "x")))</f>
        <v xml:space="preserve"> </v>
      </c>
      <c r="K265" s="50" t="str">
        <f>IF(SUM($H263:K263) &gt; SUM($H261:K261),  " N/A", IF(SUM($H263:$BG263) = SUM($H261:$BH261),    " ",IF(K263 = SUM($H261:$BH261),  " ",   "x")))</f>
        <v xml:space="preserve"> </v>
      </c>
      <c r="L265" s="50" t="str">
        <f>IF(SUM($H263:L263) &gt; SUM($H261:L261),  " N/A", IF(SUM($H263:$BG263) = SUM($H211:$BH211),    " ",IF(L263 = SUM($H211:$BH211),  " ",   "x")))</f>
        <v xml:space="preserve"> </v>
      </c>
      <c r="M265" s="50" t="str">
        <f>IF(SUM($H263:M263) &gt; SUM($H261:M261),  " N/A", IF(SUM($H263:$BG263) = SUM($H211:$BH211),    " ",IF(M263 = SUM($H211:$BH211),  " ",   "x")))</f>
        <v xml:space="preserve"> </v>
      </c>
      <c r="N265" s="50" t="str">
        <f>IF(SUM($H263:N263) &gt; SUM($H261:N261),  " N/A", IF(SUM($H263:$BG263) = SUM($H211:$BH211),    " ",IF(N263 = SUM($H211:$BH211),  " ",   "x")))</f>
        <v xml:space="preserve"> </v>
      </c>
      <c r="O265" s="50" t="str">
        <f>IF(SUM($H263:O263) &gt; SUM($H261:O261),  " N/A", IF(SUM($H263:$BG263) = SUM($H211:$BH211),    " ",IF(O263 = SUM($H211:$BH211),  " ",   "x")))</f>
        <v xml:space="preserve"> </v>
      </c>
      <c r="P265" s="50" t="str">
        <f>IF(SUM($H263:P263) &gt; SUM($H261:P261),  " N/A", IF(SUM($H263:$BG263) = SUM($H211:$BH211),    " ",IF(P263 = SUM($H211:$BH211),  " ",   "x")))</f>
        <v xml:space="preserve"> </v>
      </c>
      <c r="Q265" s="50" t="str">
        <f>IF(SUM($H263:Q263) &gt; SUM($H261:Q261),  " N/A", IF(SUM($H263:$BG263) = SUM($H211:$BH211),    " ",IF(Q263 = SUM($H211:$BH211),  " ",   "x")))</f>
        <v xml:space="preserve"> </v>
      </c>
      <c r="R265" s="50" t="str">
        <f>IF(SUM($H263:R263) &gt; SUM($H261:R261),  " N/A", IF(SUM($H263:$BG263) = SUM($H211:$BH211),    " ",IF(R263 = SUM($H211:$BH211),  " ",   "x")))</f>
        <v xml:space="preserve"> </v>
      </c>
      <c r="S265" s="50" t="str">
        <f>IF(SUM($H263:S263) &gt; SUM($H261:S261),  " N/A", IF(SUM($H263:$BG263) = SUM($H211:$BH211),    " ",IF(S263 = SUM($H211:$BH211),  " ",   "x")))</f>
        <v xml:space="preserve"> </v>
      </c>
      <c r="T265" s="50" t="str">
        <f>IF(SUM($H263:T263) &gt; SUM($H261:T261),  " N/A", IF(SUM($H263:$BG263) = SUM($H211:$BH211),    " ",IF(T263 = SUM($H211:$BH211),  " ",   "x")))</f>
        <v xml:space="preserve"> </v>
      </c>
      <c r="U265" s="50" t="str">
        <f>IF(SUM($H263:U263) &gt; SUM($H261:U261),  " N/A", IF(SUM($H263:$BG263) = SUM($H211:$BH211),    " ",IF(U263 = SUM($H211:$BH211),  " ",   "x")))</f>
        <v xml:space="preserve"> </v>
      </c>
      <c r="V265" s="50" t="str">
        <f>IF(SUM($H263:V263) &gt; SUM($H261:V261),  " N/A", IF(SUM($H263:$BG263) = SUM($H211:$BH211),    " ",IF(V263 = SUM($H211:$BH211),  " ",   "x")))</f>
        <v xml:space="preserve"> </v>
      </c>
      <c r="W265" s="50" t="str">
        <f>IF(SUM($H263:W263) &gt; SUM($H261:W261),  " N/A", IF(SUM($H263:$BG263) = SUM($H211:$BH211),    " ",IF(W263 = SUM($H211:$BH211),  " ",   "x")))</f>
        <v xml:space="preserve"> </v>
      </c>
      <c r="X265" s="50" t="str">
        <f>IF(SUM($H263:X263) &gt; SUM($H261:X261),  " N/A", IF(SUM($H263:$BG263) = SUM($H211:$BH211),    " ",IF(X263 = SUM($H211:$BH211),  " ",   "x")))</f>
        <v xml:space="preserve"> </v>
      </c>
      <c r="Y265" s="50" t="str">
        <f>IF(SUM($H263:Y263) &gt; SUM($H261:Y261),  " N/A", IF(SUM($H263:$BG263) = SUM($H211:$BH211),    " ",IF(Y263 = SUM($H211:$BH211),  " ",   "x")))</f>
        <v xml:space="preserve"> </v>
      </c>
      <c r="Z265" s="50" t="str">
        <f>IF(SUM($H263:Z263) &gt; SUM($H261:Z261),  " N/A", IF(SUM($H263:$BG263) = SUM($H211:$BH211),    " ",IF(Z263 = SUM($H211:$BH211),  " ",   "x")))</f>
        <v xml:space="preserve"> </v>
      </c>
      <c r="AA265" s="50" t="str">
        <f>IF(SUM($H263:AA263) &gt; SUM($H261:AA261),  " N/A", IF(SUM($H263:$BG263) = SUM($H211:$BH211),    " ",IF(AA263 = SUM($H211:$BH211),  " ",   "x")))</f>
        <v xml:space="preserve"> </v>
      </c>
      <c r="AB265" s="50" t="str">
        <f>IF(SUM($H263:AB263) &gt; SUM($H261:AB261),  " N/A", IF(SUM($H263:$BG263) = SUM($H211:$BH211),    " ",IF(AB263 = SUM($H211:$BH211),  " ",   "x")))</f>
        <v xml:space="preserve"> </v>
      </c>
      <c r="AC265" s="50" t="str">
        <f>IF(SUM($H263:AC263) &gt; SUM($H261:AC261),  " N/A", IF(SUM($H263:$BG263) = SUM($H211:$BH211),    " ",IF(AC263 = SUM($H211:$BH211),  " ",   "x")))</f>
        <v xml:space="preserve"> </v>
      </c>
      <c r="AD265" s="50" t="str">
        <f>IF(SUM($H263:AD263) &gt; SUM($H261:AD261),  " N/A", IF(SUM($H263:$BG263) = SUM($H211:$BH211),    " ",IF(AD263 = SUM($H211:$BH211),  " ",   "x")))</f>
        <v xml:space="preserve"> </v>
      </c>
      <c r="AE265" s="50" t="str">
        <f>IF(SUM($H263:AE263) &gt; SUM($H261:AE261),  " N/A", IF(SUM($H263:$BG263) = SUM($H211:$BH211),    " ",IF(AE263 = SUM($H211:$BH211),  " ",   "x")))</f>
        <v xml:space="preserve"> </v>
      </c>
      <c r="AF265" s="50" t="str">
        <f>IF(SUM($H263:AF263) &gt; SUM($H261:AF261),  " N/A", IF(SUM($H263:$BG263) = SUM($H211:$BH211),    " ",IF(AF263 = SUM($H211:$BH211),  " ",   "x")))</f>
        <v xml:space="preserve"> </v>
      </c>
      <c r="AG265" s="50" t="str">
        <f>IF(SUM($H263:AG263) &gt; SUM($H261:AG261),  " N/A", IF(SUM($H263:$BG263) = SUM($H211:$BH211),    " ",IF(AG263 = SUM($H211:$BH211),  " ",   "x")))</f>
        <v xml:space="preserve"> </v>
      </c>
      <c r="AH265" s="50" t="str">
        <f>IF(SUM($H263:AH263) &gt; SUM($H261:AH261),  " N/A", IF(SUM($H263:$BG263) = SUM($H211:$BH211),    " ",IF(AH263 = SUM($H211:$BH211),  " ",   "x")))</f>
        <v xml:space="preserve"> </v>
      </c>
      <c r="AI265" s="50" t="str">
        <f>IF(SUM($H263:AI263) &gt; SUM($H261:AI261),  " N/A", IF(SUM($H263:$BG263) = SUM($H211:$BH211),    " ",IF(AI263 = SUM($H211:$BH211),  " ",   "x")))</f>
        <v xml:space="preserve"> </v>
      </c>
      <c r="AJ265" s="50" t="str">
        <f>IF(SUM($H263:AJ263) &gt; SUM($H261:AJ261),  " N/A", IF(SUM($H263:$BG263) = SUM($H211:$BH211),    " ",IF(AJ263 = SUM($H211:$BH211),  " ",   "x")))</f>
        <v xml:space="preserve"> </v>
      </c>
      <c r="AK265" s="50" t="str">
        <f>IF(SUM($H263:AK263) &gt; SUM($H261:AK261),  " N/A", IF(SUM($H263:$BG263) = SUM($H211:$BH211),    " ",IF(AK263 = SUM($H211:$BH211),  " ",   "x")))</f>
        <v xml:space="preserve"> </v>
      </c>
      <c r="AL265" s="50" t="str">
        <f>IF(SUM($H263:AL263) &gt; SUM($H261:AL261),  " N/A", IF(SUM($H263:$BG263) = SUM($H211:$BH211),    " ",IF(AL263 = SUM($H211:$BH211),  " ",   "x")))</f>
        <v xml:space="preserve"> </v>
      </c>
      <c r="AM265" s="50" t="str">
        <f>IF(SUM($H263:AM263) &gt; SUM($H261:AM261),  " N/A", IF(SUM($H263:$BG263) = SUM($H211:$BH211),    " ",IF(AM263 = SUM($H211:$BH211),  " ",   "x")))</f>
        <v xml:space="preserve"> </v>
      </c>
      <c r="AN265" s="50" t="str">
        <f>IF(SUM($H263:AN263) &gt; SUM($H261:AN261),  " N/A", IF(SUM($H263:$BG263) = SUM($H211:$BH211),    " ",IF(AN263 = SUM($H211:$BH211),  " ",   "x")))</f>
        <v xml:space="preserve"> </v>
      </c>
      <c r="AO265" s="50" t="str">
        <f>IF(SUM($H263:AO263) &gt; SUM($H261:AO261),  " N/A", IF(SUM($H263:$BG263) = SUM($H211:$BH211),    " ",IF(AO263 = SUM($H211:$BH211),  " ",   "x")))</f>
        <v xml:space="preserve"> </v>
      </c>
      <c r="AP265" s="50" t="str">
        <f>IF(SUM($H263:AP263) &gt; SUM($H261:AP261),  " N/A", IF(SUM($H263:$BG263) = SUM($H211:$BH211),    " ",IF(AP263 = SUM($H211:$BH211),  " ",   "x")))</f>
        <v xml:space="preserve"> </v>
      </c>
      <c r="AQ265" s="50" t="str">
        <f>IF(SUM($H263:AQ263) &gt; SUM($H261:AQ261),  " N/A", IF(SUM($H263:$BG263) = SUM($H211:$BH211),    " ",IF(AQ263 = SUM($H211:$BH211),  " ",   "x")))</f>
        <v xml:space="preserve"> </v>
      </c>
      <c r="AR265" s="50" t="str">
        <f>IF(SUM($H263:AR263) &gt; SUM($H261:AR261),  " N/A", IF(SUM($H263:$BG263) = SUM($H211:$BH211),    " ",IF(AR263 = SUM($H211:$BH211),  " ",   "x")))</f>
        <v xml:space="preserve"> </v>
      </c>
      <c r="AS265" s="50" t="str">
        <f>IF(SUM($H263:AS263) &gt; SUM($H261:AS261),  " N/A", IF(SUM($H263:$BG263) = SUM($H211:$BH211),    " ",IF(AS263 = SUM($H211:$BH211),  " ",   "x")))</f>
        <v xml:space="preserve"> </v>
      </c>
      <c r="AT265" s="50" t="str">
        <f>IF(SUM($H263:AT263) &gt; SUM($H261:AT261),  " N/A", IF(SUM($H263:$BG263) = SUM($H211:$BH211),    " ",IF(AT263 = SUM($H211:$BH211),  " ",   "x")))</f>
        <v xml:space="preserve"> </v>
      </c>
      <c r="AU265" s="50" t="str">
        <f>IF(SUM($H263:AU263) &gt; SUM($H261:AU261),  " N/A", IF(SUM($H263:$BG263) = SUM($H211:$BH211),    " ",IF(AU263 = SUM($H211:$BH211),  " ",   "x")))</f>
        <v xml:space="preserve"> </v>
      </c>
      <c r="AV265" s="50" t="str">
        <f>IF(SUM($H263:AV263) &gt; SUM($H261:AV261),  " N/A", IF(SUM($H263:$BG263) = SUM($H211:$BH211),    " ",IF(AV263 = SUM($H211:$BH211),  " ",   "x")))</f>
        <v xml:space="preserve"> </v>
      </c>
      <c r="AW265" s="50" t="str">
        <f>IF(SUM($H263:AW263) &gt; SUM($H261:AW261),  " N/A", IF(SUM($H263:$BG263) = SUM($H211:$BH211),    " ",IF(AW263 = SUM($H211:$BH211),  " ",   "x")))</f>
        <v xml:space="preserve"> </v>
      </c>
      <c r="AX265" s="50" t="str">
        <f>IF(SUM($H263:AX263) &gt; SUM($H261:AX261),  " N/A", IF(SUM($H263:$BG263) = SUM($H211:$BH211),    " ",IF(AX263 = SUM($H211:$BH211),  " ",   "x")))</f>
        <v xml:space="preserve"> </v>
      </c>
      <c r="AY265" s="50" t="str">
        <f>IF(SUM($H263:AY263) &gt; SUM($H261:AY261),  " N/A", IF(SUM($H263:$BG263) = SUM($H211:$BH211),    " ",IF(AY263 = SUM($H211:$BH211),  " ",   "x")))</f>
        <v xml:space="preserve"> </v>
      </c>
      <c r="AZ265" s="50" t="str">
        <f>IF(SUM($H263:AZ263) &gt; SUM($H261:AZ261),  " N/A", IF(SUM($H263:$BG263) = SUM($H211:$BH211),    " ",IF(AZ263 = SUM($H211:$BH211),  " ",   "x")))</f>
        <v xml:space="preserve"> </v>
      </c>
      <c r="BA265" s="50" t="str">
        <f>IF(SUM($H263:BA263) &gt; SUM($H261:BA261),  " N/A", IF(SUM($H263:$BG263) = SUM($H211:$BH211),    " ",IF(BA263 = SUM($H211:$BH211),  " ",   "x")))</f>
        <v xml:space="preserve"> </v>
      </c>
      <c r="BB265" s="50" t="str">
        <f>IF(SUM($H263:BB263) &gt; SUM($H261:BB261),  " N/A", IF(SUM($H263:$BG263) = SUM($H211:$BH211),    " ",IF(BB263 = SUM($H211:$BH211),  " ",   "x")))</f>
        <v xml:space="preserve"> </v>
      </c>
      <c r="BC265" s="50" t="str">
        <f>IF(SUM($H263:BC263) &gt; SUM($H261:BC261),  " N/A", IF(SUM($H263:$BG263) = SUM($H211:$BH211),    " ",IF(BC263 = SUM($H211:$BH211),  " ",   "x")))</f>
        <v xml:space="preserve"> </v>
      </c>
      <c r="BD265" s="50" t="str">
        <f>IF(SUM($H263:BD263) &gt; SUM($H261:BD261),  " N/A", IF(SUM($H263:$BG263) = SUM($H211:$BH211),    " ",IF(BD263 = SUM($H211:$BH211),  " ",   "x")))</f>
        <v xml:space="preserve"> </v>
      </c>
      <c r="BE265" s="50" t="str">
        <f>IF(SUM($H263:BE263) &gt; SUM($H261:BE261),  " N/A", IF(SUM($H263:$BG263) = SUM($H211:$BH211),    " ",IF(BE263 = SUM($H211:$BH211),  " ",   "x")))</f>
        <v xml:space="preserve"> </v>
      </c>
      <c r="BF265" s="50" t="str">
        <f>IF(SUM($H263:BF263) &gt; SUM($H261:BF261),  " N/A", IF(SUM($H263:$BG263) = SUM($H211:$BH211),    " ",IF(BF263 = SUM($H211:$BH211),  " ",   "x")))</f>
        <v xml:space="preserve"> </v>
      </c>
      <c r="BG265" s="50" t="str">
        <f>IF(SUM($H263:BG263) &gt; SUM($H261:BG261),  " N/A", IF(SUM($H263:$BG263) = SUM($H211:$BH211),    " ",IF(BG263 = SUM($H211:$BH211),  " ",   "x")))</f>
        <v xml:space="preserve"> </v>
      </c>
      <c r="BH265" s="21"/>
    </row>
    <row r="266" spans="2:60" ht="15.6" x14ac:dyDescent="0.3">
      <c r="B266" s="71"/>
      <c r="C266" s="77"/>
      <c r="D266" s="82" t="s">
        <v>249</v>
      </c>
      <c r="E266" s="54">
        <f>SUM(H266:BG266)</f>
        <v>16</v>
      </c>
      <c r="F266" s="115">
        <f>Gant_24!$E266-E268</f>
        <v>0</v>
      </c>
      <c r="H266" s="41"/>
      <c r="I266" s="42"/>
      <c r="J266" s="42"/>
      <c r="K266" s="42"/>
      <c r="L266" s="51"/>
      <c r="M266" s="51"/>
      <c r="N266" s="51"/>
      <c r="O266" s="51"/>
      <c r="P266" s="51"/>
      <c r="Q266" s="51"/>
      <c r="R266" s="51"/>
      <c r="S266" s="51"/>
      <c r="T266" s="51"/>
      <c r="U266" s="51"/>
      <c r="V266" s="51"/>
      <c r="W266" s="51"/>
      <c r="X266" s="51"/>
      <c r="Y266" s="51"/>
      <c r="Z266" s="51"/>
      <c r="AA266" s="51"/>
      <c r="AB266" s="51"/>
      <c r="AC266" s="51"/>
      <c r="AD266" s="51"/>
      <c r="AE266" s="51">
        <v>16</v>
      </c>
      <c r="AF266" s="42"/>
      <c r="AG266" s="51"/>
      <c r="AH266" s="51"/>
      <c r="AI266" s="51"/>
      <c r="AJ266" s="51"/>
      <c r="AK266" s="51"/>
      <c r="AL266" s="51"/>
      <c r="AM266" s="51"/>
      <c r="AN266" s="51"/>
      <c r="AO266" s="51"/>
      <c r="AP266" s="51"/>
      <c r="AQ266" s="51"/>
      <c r="AR266" s="51"/>
      <c r="AS266" s="51"/>
      <c r="AT266" s="51"/>
      <c r="AU266" s="51"/>
      <c r="AV266" s="51"/>
      <c r="AW266" s="51"/>
      <c r="AX266" s="51"/>
      <c r="AY266" s="51"/>
      <c r="AZ266" s="51"/>
      <c r="BA266" s="51"/>
      <c r="BB266" s="51"/>
      <c r="BC266" s="51"/>
      <c r="BD266" s="51"/>
      <c r="BE266" s="51"/>
      <c r="BF266" s="51"/>
      <c r="BG266" s="51"/>
      <c r="BH266" s="21"/>
    </row>
    <row r="267" spans="2:60" ht="15.6" x14ac:dyDescent="0.3">
      <c r="B267" s="68"/>
      <c r="C267" s="78"/>
      <c r="D267" s="83" t="s">
        <v>261</v>
      </c>
      <c r="E267" s="55">
        <f>SUM(H267:BG267)</f>
        <v>0</v>
      </c>
      <c r="F267" s="116"/>
      <c r="H267" s="43"/>
      <c r="I267" s="44"/>
      <c r="J267" s="44"/>
      <c r="K267" s="44"/>
      <c r="L267" s="50"/>
      <c r="M267" s="50"/>
      <c r="N267" s="50"/>
      <c r="O267" s="50"/>
      <c r="P267" s="50"/>
      <c r="Q267" s="50"/>
      <c r="R267" s="50"/>
      <c r="S267" s="50"/>
      <c r="T267" s="50"/>
      <c r="U267" s="50"/>
      <c r="V267" s="50"/>
      <c r="W267" s="50"/>
      <c r="X267" s="50"/>
      <c r="Y267" s="50"/>
      <c r="Z267" s="50"/>
      <c r="AA267" s="50"/>
      <c r="AB267" s="50"/>
      <c r="AC267" s="50"/>
      <c r="AD267" s="50"/>
      <c r="AE267" s="50"/>
      <c r="AF267" s="44"/>
      <c r="AG267" s="50"/>
      <c r="AH267" s="50"/>
      <c r="AI267" s="50"/>
      <c r="AJ267" s="50"/>
      <c r="AK267" s="50"/>
      <c r="AL267" s="50"/>
      <c r="AM267" s="50"/>
      <c r="AN267" s="50"/>
      <c r="AO267" s="50"/>
      <c r="AP267" s="50"/>
      <c r="AQ267" s="50"/>
      <c r="AR267" s="50"/>
      <c r="AS267" s="50"/>
      <c r="AT267" s="50"/>
      <c r="AU267" s="50"/>
      <c r="AV267" s="50"/>
      <c r="AW267" s="50"/>
      <c r="AX267" s="50"/>
      <c r="AY267" s="50"/>
      <c r="AZ267" s="50"/>
      <c r="BA267" s="50"/>
      <c r="BB267" s="50"/>
      <c r="BC267" s="50"/>
      <c r="BD267" s="50"/>
      <c r="BE267" s="50"/>
      <c r="BF267" s="50"/>
      <c r="BG267" s="50"/>
      <c r="BH267" s="21"/>
    </row>
    <row r="268" spans="2:60" ht="15.6" x14ac:dyDescent="0.3">
      <c r="B268" s="68" t="s">
        <v>214</v>
      </c>
      <c r="C268" s="78" t="s">
        <v>215</v>
      </c>
      <c r="D268" s="83" t="s">
        <v>241</v>
      </c>
      <c r="E268" s="55">
        <f>SUM(H268:BG268)</f>
        <v>16</v>
      </c>
      <c r="F268" s="116"/>
      <c r="H268" s="45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  <c r="AG268" s="46"/>
      <c r="AH268" s="46">
        <v>16</v>
      </c>
      <c r="AI268" s="46"/>
      <c r="AJ268" s="46"/>
      <c r="AK268" s="46"/>
      <c r="AL268" s="46"/>
      <c r="AM268" s="46"/>
      <c r="AN268" s="46"/>
      <c r="AO268" s="46"/>
      <c r="AP268" s="46"/>
      <c r="AQ268" s="46"/>
      <c r="AR268" s="46"/>
      <c r="AS268" s="46"/>
      <c r="AT268" s="46"/>
      <c r="AU268" s="46"/>
      <c r="AV268" s="46"/>
      <c r="AW268" s="46"/>
      <c r="AX268" s="46"/>
      <c r="AY268" s="46"/>
      <c r="AZ268" s="46"/>
      <c r="BA268" s="46"/>
      <c r="BB268" s="46"/>
      <c r="BC268" s="46"/>
      <c r="BD268" s="46"/>
      <c r="BE268" s="46"/>
      <c r="BF268" s="46"/>
      <c r="BG268" s="46"/>
      <c r="BH268" s="21"/>
    </row>
    <row r="269" spans="2:60" ht="15.6" x14ac:dyDescent="0.3">
      <c r="B269" s="68"/>
      <c r="C269" s="78"/>
      <c r="D269" s="83" t="s">
        <v>278</v>
      </c>
      <c r="E269" s="56">
        <f ca="1">MAX(H269:BG269)</f>
        <v>0</v>
      </c>
      <c r="F269" s="116"/>
      <c r="H269" s="47"/>
      <c r="I269" s="48"/>
      <c r="J269" s="48"/>
      <c r="K269" s="48"/>
      <c r="L269" s="50"/>
      <c r="M269" s="50"/>
      <c r="N269" s="50"/>
      <c r="O269" s="50"/>
      <c r="P269" s="50"/>
      <c r="Q269" s="50"/>
      <c r="R269" s="50"/>
      <c r="S269" s="50"/>
      <c r="T269" s="50"/>
      <c r="U269" s="50"/>
      <c r="V269" s="50"/>
      <c r="W269" s="50"/>
      <c r="X269" s="50"/>
      <c r="Y269" s="50"/>
      <c r="Z269" s="50"/>
      <c r="AA269" s="44"/>
      <c r="AB269" s="44"/>
      <c r="AC269" s="44"/>
      <c r="AD269" s="44"/>
      <c r="AE269" s="44" t="str">
        <f>IF(SUM(H266:BG266) = AE268, " 0 ", " ")</f>
        <v xml:space="preserve"> </v>
      </c>
      <c r="AF269" s="44" t="str">
        <f ca="1">IF(AF9&gt;WEEKNUM(TODAY())," ", IF(AND(AF10="x",SUM($AE268:AF268)&gt;$AE266),H9-(SUM($AE268:AF268)/SUM($AE266:$BG266)),IF(SUM($AE268:AF268)&gt;=$AE266," ",H9-(SUM($AE268:AF268)/(SUM($AE266:$BG266))))))</f>
        <v xml:space="preserve"> </v>
      </c>
      <c r="AG269" s="44" t="str">
        <f ca="1">IF(AG9&gt;WEEKNUM(TODAY())," ", IF(AND(AG10="x",SUM($AE268:AG268)&gt;$AE266),I9-(SUM($AE268:AG268)/SUM($AE266:$BG266)),IF(SUM($AE268:AG268)&gt;=$AE266," ",I9-(SUM($AE268:AG268)/(SUM($AE266:$BG266))))))</f>
        <v xml:space="preserve"> </v>
      </c>
      <c r="AH269" s="44" t="str">
        <f ca="1">IF(AH9&gt;WEEKNUM(TODAY())," ", IF(AND(AH10="x",SUM($AE268:AH268)&gt;$AE266),J9-(SUM($AE268:AH268)/SUM($AE266:$BG266)),IF(SUM($AE268:AH268)&gt;=$AE266," ",J9-(SUM($AE268:AH268)/(SUM($AE266:$BG266))))))</f>
        <v xml:space="preserve"> </v>
      </c>
      <c r="AI269" s="44" t="str">
        <f ca="1">IF(AI9&gt;WEEKNUM(TODAY())," ", IF(AND(AI10="x",SUM($AE268:AI268)&gt;$AE266),K9-(SUM($AE268:AI268)/SUM($AE266:$BG266)),IF(SUM($AE268:AI268)&gt;=$AE266," ",K9-(SUM($AE268:AI268)/(SUM($AE266:$BG266))))))</f>
        <v xml:space="preserve"> </v>
      </c>
      <c r="AJ269" s="44" t="str">
        <f ca="1">IF(AJ9&gt;WEEKNUM(TODAY())," ", IF(AND(AJ10="x",SUM($AE268:AJ268)&gt;$AE266),L9-(SUM($AE268:AJ268)/SUM($AE266:$BG266)),IF(SUM($AE268:AJ268)&gt;=$AE266," ",L9-(SUM($AE268:AJ268)/(SUM($AE266:$BG266))))))</f>
        <v xml:space="preserve"> </v>
      </c>
      <c r="AK269" s="44" t="str">
        <f ca="1">IF(AK9&gt;WEEKNUM(TODAY())," ", IF(AND(AK10="x",SUM($AE268:AK268)&gt;$AE266),M9-(SUM($AE268:AK268)/SUM($AE266:$BG266)),IF(SUM($AE268:AK268)&gt;=$AE266," ",M9-(SUM($AE268:AK268)/(SUM($AE266:$BG266))))))</f>
        <v xml:space="preserve"> </v>
      </c>
      <c r="AL269" s="44" t="str">
        <f ca="1">IF(AL9&gt;WEEKNUM(TODAY())," ", IF(AND(AL10="x",SUM($AE268:AL268)&gt;$AE266),N9-(SUM($AE268:AL268)/SUM($AE266:$BG266)),IF(SUM($AE268:AL268)&gt;=$AE266," ",N9-(SUM($AE268:AL268)/(SUM($AE266:$BG266))))))</f>
        <v xml:space="preserve"> </v>
      </c>
      <c r="AM269" s="44" t="str">
        <f ca="1">IF(AM9&gt;WEEKNUM(TODAY())," ", IF(AND(AM10="x",SUM($AE268:AM268)&gt;$AE266),O9-(SUM($AE268:AM268)/SUM($AE266:$BG266)),IF(SUM($AE268:AM268)&gt;=$AE266," ",O9-(SUM($AE268:AM268)/(SUM($AE266:$BG266))))))</f>
        <v xml:space="preserve"> </v>
      </c>
      <c r="AN269" s="44" t="str">
        <f ca="1">IF(AN9&gt;WEEKNUM(TODAY())," ", IF(AND(AN10="x",SUM($AE268:AN268)&gt;$AE266),P9-(SUM($AE268:AN268)/SUM($AE266:$BG266)),IF(SUM($AE268:AN268)&gt;=$AE266," ",P9-(SUM($AE268:AN268)/(SUM($AE266:$BG266))))))</f>
        <v xml:space="preserve"> </v>
      </c>
      <c r="AO269" s="44" t="str">
        <f ca="1">IF(AO9&gt;WEEKNUM(TODAY())," ", IF(AND(AO10="x",SUM($AE268:AO268)&gt;$AE266),Q9-(SUM($AE268:AO268)/SUM($AE266:$BG266)),IF(SUM($AE268:AO268)&gt;=$AE266," ",Q9-(SUM($AE268:AO268)/(SUM($AE266:$BG266))))))</f>
        <v xml:space="preserve"> </v>
      </c>
      <c r="AP269" s="44" t="str">
        <f ca="1">IF(AP9&gt;WEEKNUM(TODAY())," ", IF(AND(AP10="x",SUM($AE268:AP268)&gt;$AE266),R9-(SUM($AE268:AP268)/SUM($AE266:$BG266)),IF(SUM($AE268:AP268)&gt;=$AE266," ",R9-(SUM($AE268:AP268)/(SUM($AE266:$BG266))))))</f>
        <v xml:space="preserve"> </v>
      </c>
      <c r="AQ269" s="44" t="str">
        <f ca="1">IF(AQ9&gt;WEEKNUM(TODAY())," ", IF(AND(AQ10="x",SUM($AE268:AQ268)&gt;$AE266),S9-(SUM($AE268:AQ268)/SUM($AE266:$BG266)),IF(SUM($AE268:AQ268)&gt;=$AE266," ",S9-(SUM($AE268:AQ268)/(SUM($AE266:$BG266))))))</f>
        <v xml:space="preserve"> </v>
      </c>
      <c r="AR269" s="44" t="str">
        <f ca="1">IF(AR9&gt;WEEKNUM(TODAY())," ", IF(AND(AR10="x",SUM($AE268:AR268)&gt;$AE266),T9-(SUM($AE268:AR268)/SUM($AE266:$BG266)),IF(SUM($AE268:AR268)&gt;=$AE266," ",T9-(SUM($AE268:AR268)/(SUM($AE266:$BG266))))))</f>
        <v xml:space="preserve"> </v>
      </c>
      <c r="AS269" s="44" t="str">
        <f ca="1">IF(AS9&gt;WEEKNUM(TODAY())," ", IF(AND(AS10="x",SUM($AE268:AS268)&gt;$AE266),U9-(SUM($AE268:AS268)/SUM($AE266:$BG266)),IF(SUM($AE268:AS268)&gt;=$AE266," ",U9-(SUM($AE268:AS268)/(SUM($AE266:$BG266))))))</f>
        <v xml:space="preserve"> </v>
      </c>
      <c r="AT269" s="44" t="str">
        <f ca="1">IF(AT9&gt;WEEKNUM(TODAY())," ", IF(AND(AT10="x",SUM($AE268:AT268)&gt;$AE266),V9-(SUM($AE268:AT268)/SUM($AE266:$BG266)),IF(SUM($AE268:AT268)&gt;=$AE266," ",V9-(SUM($AE268:AT268)/(SUM($AE266:$BG266))))))</f>
        <v xml:space="preserve"> </v>
      </c>
      <c r="AU269" s="44" t="str">
        <f ca="1">IF(AU9&gt;WEEKNUM(TODAY())," ", IF(AND(AU10="x",SUM($AE268:AU268)&gt;$AE266),W9-(SUM($AE268:AU268)/SUM($AE266:$BG266)),IF(SUM($AE268:AU268)&gt;=$AE266," ",W9-(SUM($AE268:AU268)/(SUM($AE266:$BG266))))))</f>
        <v xml:space="preserve"> </v>
      </c>
      <c r="AV269" s="44" t="str">
        <f ca="1">IF(AV9&gt;WEEKNUM(TODAY())," ", IF(AND(AV10="x",SUM($AE268:AV268)&gt;$AE266),X9-(SUM($AE268:AV268)/SUM($AE266:$BG266)),IF(SUM($AE268:AV268)&gt;=$AE266," ",X9-(SUM($AE268:AV268)/(SUM($AE266:$BG266))))))</f>
        <v xml:space="preserve"> </v>
      </c>
      <c r="AW269" s="44" t="str">
        <f ca="1">IF(AW9&gt;WEEKNUM(TODAY())," ", IF(AND(AW10="x",SUM($AE268:AW268)&gt;$AE266),Y9-(SUM($AE268:AW268)/SUM($AE266:$BG266)),IF(SUM($AE268:AW268)&gt;=$AE266," ",Y9-(SUM($AE268:AW268)/(SUM($AE266:$BG266))))))</f>
        <v xml:space="preserve"> </v>
      </c>
      <c r="AX269" s="44" t="str">
        <f ca="1">IF(AX9&gt;WEEKNUM(TODAY())," ", IF(AND(AX10="x",SUM($AE268:AX268)&gt;$AE266),Z9-(SUM($AE268:AX268)/SUM($AE266:$BG266)),IF(SUM($AE268:AX268)&gt;=$AE266," ",Z9-(SUM($AE268:AX268)/(SUM($AE266:$BG266))))))</f>
        <v xml:space="preserve"> </v>
      </c>
      <c r="AY269" s="44" t="str">
        <f ca="1">IF(AY9&gt;WEEKNUM(TODAY())," ", IF(AND(AY10="x",SUM($AE268:AY268)&gt;$AE266),AA9-(SUM($AE268:AY268)/SUM($AE266:$BG266)),IF(SUM($AE268:AY268)&gt;=$AE266," ",AA9-(SUM($AE268:AY268)/(SUM($AE266:$BG266))))))</f>
        <v xml:space="preserve"> </v>
      </c>
      <c r="AZ269" s="44" t="str">
        <f ca="1">IF(AZ9&gt;WEEKNUM(TODAY())," ", IF(AND(AZ10="x",SUM($AE268:AZ268)&gt;$AE266),AB9-(SUM($AE268:AZ268)/SUM($AE266:$BG266)),IF(SUM($AE268:AZ268)&gt;=$AE266," ",AB9-(SUM($AE268:AZ268)/(SUM($AE266:$BG266))))))</f>
        <v xml:space="preserve"> </v>
      </c>
      <c r="BA269" s="44" t="str">
        <f ca="1">IF(BA9&gt;WEEKNUM(TODAY())," ", IF(AND(BA10="x",SUM($AE268:BA268)&gt;$AE266),AC9-(SUM($AE268:BA268)/SUM($AE266:$BG266)),IF(SUM($AE268:BA268)&gt;=$AE266," ",AC9-(SUM($AE268:BA268)/(SUM($AE266:$BG266))))))</f>
        <v xml:space="preserve"> </v>
      </c>
      <c r="BB269" s="44" t="str">
        <f ca="1">IF(BB9&gt;WEEKNUM(TODAY())," ", IF(AND(BB10="x",SUM($AE268:BB268)&gt;$AE266),AD9-(SUM($AE268:BB268)/SUM($AE266:$BG266)),IF(SUM($AE268:BB268)&gt;=$AE266," ",AD9-(SUM($AE268:BB268)/(SUM($AE266:$BG266))))))</f>
        <v xml:space="preserve"> </v>
      </c>
      <c r="BC269" s="44" t="str">
        <f ca="1">IF(BC9&gt;WEEKNUM(TODAY())," ", IF(AND(BC10="x",SUM($AE268:BC268)&gt;$AE266),AE9-(SUM($AE268:BC268)/SUM($AE266:$BG266)),IF(SUM($AE268:BC268)&gt;=$AE266," ",AE9-(SUM($AE268:BC268)/(SUM($AE266:$BG266))))))</f>
        <v xml:space="preserve"> </v>
      </c>
      <c r="BD269" s="44" t="str">
        <f ca="1">IF(BD9&gt;WEEKNUM(TODAY())," ", IF(AND(BD10="x",SUM($AE268:BD268)&gt;$AE266),AF9-(SUM($AE268:BD268)/SUM($AE266:$BG266)),IF(SUM($AE268:BD268)&gt;=$AE266," ",AF9-(SUM($AE268:BD268)/(SUM($AE266:$BG266))))))</f>
        <v xml:space="preserve"> </v>
      </c>
      <c r="BE269" s="44" t="str">
        <f ca="1">IF(BE9&gt;WEEKNUM(TODAY())," ", IF(AND(BE10="x",SUM($AE268:BE268)&gt;$AE266),AG9-(SUM($AE268:BE268)/SUM($AE266:$BG266)),IF(SUM($AE268:BE268)&gt;=$AE266," ",AG9-(SUM($AE268:BE268)/(SUM($AE266:$BG266))))))</f>
        <v xml:space="preserve"> </v>
      </c>
      <c r="BF269" s="44" t="str">
        <f ca="1">IF(BF9&gt;WEEKNUM(TODAY())," ", IF(AND(BF10="x",SUM($AE268:BF268)&gt;$AE266),AH9-(SUM($AE268:BF268)/SUM($AE266:$BG266)),IF(SUM($AE268:BF268)&gt;=$AE266," ",AH9-(SUM($AE268:BF268)/(SUM($AE266:$BG266))))))</f>
        <v xml:space="preserve"> </v>
      </c>
      <c r="BG269" s="44" t="str">
        <f ca="1">IF(BG9&gt;WEEKNUM(TODAY())," ", IF(AND(BG10="x",SUM($AE268:BG268)&gt;$AE266),AI9-(SUM($AE268:BG268)/SUM($AE266:$BG266)),IF(SUM($AE268:BG268)&gt;=$AE266," ",AI9-(SUM($AE268:BG268)/(SUM($AE266:$BG266))))))</f>
        <v xml:space="preserve"> </v>
      </c>
      <c r="BH269" s="21"/>
    </row>
    <row r="270" spans="2:60" ht="16.2" thickBot="1" x14ac:dyDescent="0.35">
      <c r="B270" s="70"/>
      <c r="C270" s="79"/>
      <c r="D270" s="84"/>
      <c r="E270" s="57"/>
      <c r="F270" s="117"/>
      <c r="H270" s="49" t="str">
        <f>IF(H266= " ", " ",IF(H268&gt;SUM($H266:$BG266), " N/A", IF(SUM($H268:$BG268)=SUM($H266:BG266), " ", IF(H268=SUM($H266:BG266), " ", "x"))))</f>
        <v xml:space="preserve"> </v>
      </c>
      <c r="I270" s="50" t="str">
        <f>IF(SUM($H268:I268) &gt; SUM($H266:I266),  " N/A", IF(SUM($H268:$BG268) = SUM($H266:$BH266),    " ",IF(I268 = SUM($H266:$BH266),  " ",   "x")))</f>
        <v xml:space="preserve"> </v>
      </c>
      <c r="J270" s="50" t="str">
        <f>IF(SUM($H268:J268) &gt; SUM($H266:J266),  " N/A", IF(SUM($H268:$BG268) = SUM($H266:$BH266),    " ",IF(J268 = SUM($H266:$BH266),  " ",   "x")))</f>
        <v xml:space="preserve"> </v>
      </c>
      <c r="K270" s="50" t="str">
        <f>IF(SUM($H268:K268) &gt; SUM($H266:K266),  " N/A", IF(SUM($H268:$BG268) = SUM($H266:$BH266),    " ",IF(K268 = SUM($H266:$BH266),  " ",   "x")))</f>
        <v xml:space="preserve"> </v>
      </c>
      <c r="L270" s="50" t="str">
        <f>IF(SUM($H268:L268) &gt; SUM($H266:L266),  " N/A", IF(SUM($H268:$BG268) = SUM($H266:$BH266),    " ",IF(L268 = SUM($H266:$BH266),  " ",   "x")))</f>
        <v xml:space="preserve"> </v>
      </c>
      <c r="M270" s="50" t="str">
        <f>IF(SUM($H268:M268) &gt; SUM($H266:M266),  " N/A", IF(SUM($H268:$BG268) = SUM($H266:$BH266),    " ",IF(M268 = SUM($H266:$BH266),  " ",   "x")))</f>
        <v xml:space="preserve"> </v>
      </c>
      <c r="N270" s="50" t="str">
        <f>IF(SUM($H268:N268) &gt; SUM($H266:N266),  " N/A", IF(SUM($H268:$BG268) = SUM($H266:$BH266),    " ",IF(N268 = SUM($H266:$BH266),  " ",   "x")))</f>
        <v xml:space="preserve"> </v>
      </c>
      <c r="O270" s="50" t="str">
        <f>IF(SUM($H268:O268) &gt; SUM($H266:O266),  " N/A", IF(SUM($H268:$BG268) = SUM($H266:$BH266),    " ",IF(O268 = SUM($H266:$BH266),  " ",   "x")))</f>
        <v xml:space="preserve"> </v>
      </c>
      <c r="P270" s="50" t="str">
        <f>IF(SUM($H268:P268) &gt; SUM($H266:P266),  " N/A", IF(SUM($H268:$BG268) = SUM($H266:$BH266),    " ",IF(P268 = SUM($H266:$BH266),  " ",   "x")))</f>
        <v xml:space="preserve"> </v>
      </c>
      <c r="Q270" s="50" t="str">
        <f>IF(SUM($H268:Q268) &gt; SUM($H266:Q266),  " N/A", IF(SUM($H268:$BG268) = SUM($H266:$BH266),    " ",IF(Q268 = SUM($H266:$BH266),  " ",   "x")))</f>
        <v xml:space="preserve"> </v>
      </c>
      <c r="R270" s="50" t="str">
        <f>IF(SUM($H268:R268) &gt; SUM($H266:R266),  " N/A", IF(SUM($H268:$BG268) = SUM($H266:$BH266),    " ",IF(R268 = SUM($H266:$BH266),  " ",   "x")))</f>
        <v xml:space="preserve"> </v>
      </c>
      <c r="S270" s="50" t="str">
        <f>IF(SUM($H268:S268) &gt; SUM($H266:S266),  " N/A", IF(SUM($H268:$BG268) = SUM($H266:$BH266),    " ",IF(S268 = SUM($H266:$BH266),  " ",   "x")))</f>
        <v xml:space="preserve"> </v>
      </c>
      <c r="T270" s="50" t="str">
        <f>IF(SUM($H268:T268) &gt; SUM($H266:T266),  " N/A", IF(SUM($H268:$BG268) = SUM($H266:$BH266),    " ",IF(T268 = SUM($H266:$BH266),  " ",   "x")))</f>
        <v xml:space="preserve"> </v>
      </c>
      <c r="U270" s="50" t="str">
        <f>IF(SUM($H268:U268) &gt; SUM($H266:U266),  " N/A", IF(SUM($H268:$BG268) = SUM($H266:$BH266),    " ",IF(U268 = SUM($H266:$BH266),  " ",   "x")))</f>
        <v xml:space="preserve"> </v>
      </c>
      <c r="V270" s="50" t="str">
        <f>IF(SUM($H268:V268) &gt; SUM($H266:V266),  " N/A", IF(SUM($H268:$BG268) = SUM($H266:$BH266),    " ",IF(V268 = SUM($H266:$BH266),  " ",   "x")))</f>
        <v xml:space="preserve"> </v>
      </c>
      <c r="W270" s="50" t="str">
        <f>IF(SUM($H268:W268) &gt; SUM($H266:W266),  " N/A", IF(SUM($H268:$BG268) = SUM($H266:$BH266),    " ",IF(W268 = SUM($H266:$BH266),  " ",   "x")))</f>
        <v xml:space="preserve"> </v>
      </c>
      <c r="X270" s="50" t="str">
        <f>IF(SUM($H268:X268) &gt; SUM($H266:X266),  " N/A", IF(SUM($H268:$BG268) = SUM($H266:$BH266),    " ",IF(X268 = SUM($H266:$BH266),  " ",   "x")))</f>
        <v xml:space="preserve"> </v>
      </c>
      <c r="Y270" s="50" t="str">
        <f>IF(SUM($H268:Y268) &gt; SUM($H266:Y266),  " N/A", IF(SUM($H268:$BG268) = SUM($H266:$BH266),    " ",IF(Y268 = SUM($H266:$BH266),  " ",   "x")))</f>
        <v xml:space="preserve"> </v>
      </c>
      <c r="Z270" s="50" t="str">
        <f>IF(SUM($H268:Z268) &gt; SUM($H266:Z266),  " N/A", IF(SUM($H268:$BG268) = SUM($H266:$BH266),    " ",IF(Z268 = SUM($H266:$BH266),  " ",   "x")))</f>
        <v xml:space="preserve"> </v>
      </c>
      <c r="AA270" s="50" t="str">
        <f>IF(SUM($H268:AA268) &gt; SUM($H266:AA266),  " N/A", IF(SUM($H268:$BG268) = SUM($H266:$BH266),    " ",IF(AA268 = SUM($H266:$BH266),  " ",   "x")))</f>
        <v xml:space="preserve"> </v>
      </c>
      <c r="AB270" s="50" t="str">
        <f>IF(SUM($H268:AB268) &gt; SUM($H266:AB266),  " N/A", IF(SUM($H268:$BG268) = SUM($H266:$BH266),    " ",IF(AB268 = SUM($H266:$BH266),  " ",   "x")))</f>
        <v xml:space="preserve"> </v>
      </c>
      <c r="AC270" s="50" t="str">
        <f>IF(SUM($H268:AC268) &gt; SUM($H266:AC266),  " N/A", IF(SUM($H268:$BG268) = SUM($H266:$BH266),    " ",IF(AC268 = SUM($H266:$BH266),  " ",   "x")))</f>
        <v xml:space="preserve"> </v>
      </c>
      <c r="AD270" s="50" t="str">
        <f>IF(SUM($H268:AD268) &gt; SUM($H266:AD266),  " N/A", IF(SUM($H268:$BG268) = SUM($H266:$BH266),    " ",IF(AD268 = SUM($H266:$BH266),  " ",   "x")))</f>
        <v xml:space="preserve"> </v>
      </c>
      <c r="AE270" s="50" t="str">
        <f>IF(SUM($H268:AE268) &gt; SUM($H266:AE266),  " N/A", IF(SUM($H268:$BG268) = SUM($H266:$BH266),    " ",IF(AE268 = SUM($H266:$BH266),  " ",   "x")))</f>
        <v xml:space="preserve"> </v>
      </c>
      <c r="AF270" s="50" t="str">
        <f>IF(SUM($H268:AF268) &gt; SUM($H266:AF266),  " N/A", IF(SUM($H268:$BG268) = SUM($H216:$BH216),    " ",IF(AF268 = SUM($H216:$BH216),  " ",   "x")))</f>
        <v xml:space="preserve"> </v>
      </c>
      <c r="AG270" s="50" t="str">
        <f>IF(SUM($H268:AG268) &gt; SUM($H266:AG266),  " N/A", IF(SUM($H268:$BG268) = SUM($H266:$BH266),    " ",IF(AG268 = SUM($H266:$BH266),  " ",   "x")))</f>
        <v xml:space="preserve"> </v>
      </c>
      <c r="AH270" s="50" t="str">
        <f>IF(SUM($H268:AH268) &gt; SUM($H266:AH266),  " N/A", IF(SUM($H268:$BG268) = SUM($H266:$BH266),    " ",IF(AH268 = SUM($H266:$BH266),  " ",   "x")))</f>
        <v xml:space="preserve"> </v>
      </c>
      <c r="AI270" s="50" t="str">
        <f>IF(SUM($H268:AI268) &gt; SUM($H266:AI266),  " N/A", IF(SUM($H268:$BG268) = SUM($H266:$BH266),    " ",IF(AI268 = SUM($H266:$BH266),  " ",   "x")))</f>
        <v xml:space="preserve"> </v>
      </c>
      <c r="AJ270" s="50" t="str">
        <f>IF(SUM($H268:AJ268) &gt; SUM($H266:AJ266),  " N/A", IF(SUM($H268:$BG268) = SUM($H266:$BH266),    " ",IF(AJ268 = SUM($H266:$BH266),  " ",   "x")))</f>
        <v xml:space="preserve"> </v>
      </c>
      <c r="AK270" s="50" t="str">
        <f>IF(SUM($H268:AK268) &gt; SUM($H266:AK266),  " N/A", IF(SUM($H268:$BG268) = SUM($H266:$BH266),    " ",IF(AK268 = SUM($H266:$BH266),  " ",   "x")))</f>
        <v xml:space="preserve"> </v>
      </c>
      <c r="AL270" s="50" t="str">
        <f>IF(SUM($H268:AL268) &gt; SUM($H266:AL266),  " N/A", IF(SUM($H268:$BG268) = SUM($H266:$BH266),    " ",IF(AL268 = SUM($H266:$BH266),  " ",   "x")))</f>
        <v xml:space="preserve"> </v>
      </c>
      <c r="AM270" s="50" t="str">
        <f>IF(SUM($H268:AM268) &gt; SUM($H266:AM266),  " N/A", IF(SUM($H268:$BG268) = SUM($H266:$BH266),    " ",IF(AM268 = SUM($H266:$BH266),  " ",   "x")))</f>
        <v xml:space="preserve"> </v>
      </c>
      <c r="AN270" s="50" t="str">
        <f>IF(SUM($H268:AN268) &gt; SUM($H266:AN266),  " N/A", IF(SUM($H268:$BG268) = SUM($H266:$BH266),    " ",IF(AN268 = SUM($H266:$BH266),  " ",   "x")))</f>
        <v xml:space="preserve"> </v>
      </c>
      <c r="AO270" s="50" t="str">
        <f>IF(SUM($H268:AO268) &gt; SUM($H266:AO266),  " N/A", IF(SUM($H268:$BG268) = SUM($H266:$BH266),    " ",IF(AO268 = SUM($H266:$BH266),  " ",   "x")))</f>
        <v xml:space="preserve"> </v>
      </c>
      <c r="AP270" s="50" t="str">
        <f>IF(SUM($H268:AP268) &gt; SUM($H266:AP266),  " N/A", IF(SUM($H268:$BG268) = SUM($H266:$BH266),    " ",IF(AP268 = SUM($H266:$BH266),  " ",   "x")))</f>
        <v xml:space="preserve"> </v>
      </c>
      <c r="AQ270" s="50" t="str">
        <f>IF(SUM($H268:AQ268) &gt; SUM($H266:AQ266),  " N/A", IF(SUM($H268:$BG268) = SUM($H266:$BH266),    " ",IF(AQ268 = SUM($H266:$BH266),  " ",   "x")))</f>
        <v xml:space="preserve"> </v>
      </c>
      <c r="AR270" s="50" t="str">
        <f>IF(SUM($H268:AR268) &gt; SUM($H266:AR266),  " N/A", IF(SUM($H268:$BG268) = SUM($H266:$BH266),    " ",IF(AR268 = SUM($H266:$BH266),  " ",   "x")))</f>
        <v xml:space="preserve"> </v>
      </c>
      <c r="AS270" s="50" t="str">
        <f>IF(SUM($H268:AS268) &gt; SUM($H266:AS266),  " N/A", IF(SUM($H268:$BG268) = SUM($H266:$BH266),    " ",IF(AS268 = SUM($H266:$BH266),  " ",   "x")))</f>
        <v xml:space="preserve"> </v>
      </c>
      <c r="AT270" s="50" t="str">
        <f>IF(SUM($H268:AT268) &gt; SUM($H266:AT266),  " N/A", IF(SUM($H268:$BG268) = SUM($H266:$BH266),    " ",IF(AT268 = SUM($H266:$BH266),  " ",   "x")))</f>
        <v xml:space="preserve"> </v>
      </c>
      <c r="AU270" s="50" t="str">
        <f>IF(SUM($H268:AU268) &gt; SUM($H266:AU266),  " N/A", IF(SUM($H268:$BG268) = SUM($H266:$BH266),    " ",IF(AU268 = SUM($H266:$BH266),  " ",   "x")))</f>
        <v xml:space="preserve"> </v>
      </c>
      <c r="AV270" s="50" t="str">
        <f>IF(SUM($H268:AV268) &gt; SUM($H266:AV266),  " N/A", IF(SUM($H268:$BG268) = SUM($H266:$BH266),    " ",IF(AV268 = SUM($H266:$BH266),  " ",   "x")))</f>
        <v xml:space="preserve"> </v>
      </c>
      <c r="AW270" s="50" t="str">
        <f>IF(SUM($H268:AW268) &gt; SUM($H266:AW266),  " N/A", IF(SUM($H268:$BG268) = SUM($H266:$BH266),    " ",IF(AW268 = SUM($H266:$BH266),  " ",   "x")))</f>
        <v xml:space="preserve"> </v>
      </c>
      <c r="AX270" s="50" t="str">
        <f>IF(SUM($H268:AX268) &gt; SUM($H266:AX266),  " N/A", IF(SUM($H268:$BG268) = SUM($H266:$BH266),    " ",IF(AX268 = SUM($H266:$BH266),  " ",   "x")))</f>
        <v xml:space="preserve"> </v>
      </c>
      <c r="AY270" s="50" t="str">
        <f>IF(SUM($H268:AY268) &gt; SUM($H266:AY266),  " N/A", IF(SUM($H268:$BG268) = SUM($H266:$BH266),    " ",IF(AY268 = SUM($H266:$BH266),  " ",   "x")))</f>
        <v xml:space="preserve"> </v>
      </c>
      <c r="AZ270" s="50" t="str">
        <f>IF(SUM($H268:AZ268) &gt; SUM($H266:AZ266),  " N/A", IF(SUM($H268:$BG268) = SUM($H266:$BH266),    " ",IF(AZ268 = SUM($H266:$BH266),  " ",   "x")))</f>
        <v xml:space="preserve"> </v>
      </c>
      <c r="BA270" s="50" t="str">
        <f>IF(SUM($H268:BA268) &gt; SUM($H266:BA266),  " N/A", IF(SUM($H268:$BG268) = SUM($H266:$BH266),    " ",IF(BA268 = SUM($H266:$BH266),  " ",   "x")))</f>
        <v xml:space="preserve"> </v>
      </c>
      <c r="BB270" s="50" t="str">
        <f>IF(SUM($H268:BB268) &gt; SUM($H266:BB266),  " N/A", IF(SUM($H268:$BG268) = SUM($H266:$BH266),    " ",IF(BB268 = SUM($H266:$BH266),  " ",   "x")))</f>
        <v xml:space="preserve"> </v>
      </c>
      <c r="BC270" s="50" t="str">
        <f>IF(SUM($H268:BC268) &gt; SUM($H266:BC266),  " N/A", IF(SUM($H268:$BG268) = SUM($H266:$BH266),    " ",IF(BC268 = SUM($H266:$BH266),  " ",   "x")))</f>
        <v xml:space="preserve"> </v>
      </c>
      <c r="BD270" s="50" t="str">
        <f>IF(SUM($H268:BD268) &gt; SUM($H266:BD266),  " N/A", IF(SUM($H268:$BG268) = SUM($H266:$BH266),    " ",IF(BD268 = SUM($H266:$BH266),  " ",   "x")))</f>
        <v xml:space="preserve"> </v>
      </c>
      <c r="BE270" s="50" t="str">
        <f>IF(SUM($H268:BE268) &gt; SUM($H266:BE266),  " N/A", IF(SUM($H268:$BG268) = SUM($H266:$BH266),    " ",IF(BE268 = SUM($H266:$BH266),  " ",   "x")))</f>
        <v xml:space="preserve"> </v>
      </c>
      <c r="BF270" s="50" t="str">
        <f>IF(SUM($H268:BF268) &gt; SUM($H266:BF266),  " N/A", IF(SUM($H268:$BG268) = SUM($H266:$BH266),    " ",IF(BF268 = SUM($H266:$BH266),  " ",   "x")))</f>
        <v xml:space="preserve"> </v>
      </c>
      <c r="BG270" s="50" t="str">
        <f>IF(SUM($H268:BG268) &gt; SUM($H266:BG266),  " N/A", IF(SUM($H268:$BG268) = SUM($H266:$BH266),    " ",IF(BG268 = SUM($H266:$BH266),  " ",   "x")))</f>
        <v xml:space="preserve"> </v>
      </c>
      <c r="BH270" s="21"/>
    </row>
    <row r="271" spans="2:60" ht="15.6" x14ac:dyDescent="0.3">
      <c r="B271" s="71"/>
      <c r="C271" s="77"/>
      <c r="D271" s="82" t="s">
        <v>249</v>
      </c>
      <c r="E271" s="54">
        <f>SUM(H271:BG271)</f>
        <v>16</v>
      </c>
      <c r="F271" s="115">
        <f>Gant_24!$E271-E273</f>
        <v>16</v>
      </c>
      <c r="H271" s="41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>
        <v>16</v>
      </c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21"/>
    </row>
    <row r="272" spans="2:60" ht="15.6" x14ac:dyDescent="0.3">
      <c r="B272" s="68"/>
      <c r="C272" s="78"/>
      <c r="D272" s="83" t="s">
        <v>261</v>
      </c>
      <c r="E272" s="55">
        <f>SUM(H272:BG272)</f>
        <v>0</v>
      </c>
      <c r="F272" s="116"/>
      <c r="H272" s="43"/>
      <c r="I272" s="44"/>
      <c r="J272" s="44"/>
      <c r="K272" s="44"/>
      <c r="L272" s="44"/>
      <c r="M272" s="44"/>
      <c r="N272" s="44"/>
      <c r="O272" s="44"/>
      <c r="P272" s="44"/>
      <c r="Q272" s="44"/>
      <c r="R272" s="44"/>
      <c r="S272" s="44"/>
      <c r="T272" s="44"/>
      <c r="U272" s="44"/>
      <c r="V272" s="44"/>
      <c r="W272" s="44"/>
      <c r="X272" s="44"/>
      <c r="Y272" s="44"/>
      <c r="Z272" s="44"/>
      <c r="AA272" s="44"/>
      <c r="AB272" s="44"/>
      <c r="AC272" s="44"/>
      <c r="AD272" s="44"/>
      <c r="AE272" s="44"/>
      <c r="AF272" s="44"/>
      <c r="AG272" s="44"/>
      <c r="AH272" s="44"/>
      <c r="AI272" s="44"/>
      <c r="AJ272" s="44"/>
      <c r="AK272" s="44"/>
      <c r="AL272" s="44"/>
      <c r="AM272" s="44"/>
      <c r="AN272" s="44"/>
      <c r="AO272" s="44"/>
      <c r="AP272" s="44"/>
      <c r="AQ272" s="44"/>
      <c r="AR272" s="44"/>
      <c r="AS272" s="44"/>
      <c r="AT272" s="44"/>
      <c r="AU272" s="44"/>
      <c r="AV272" s="44"/>
      <c r="AW272" s="44"/>
      <c r="AX272" s="44"/>
      <c r="AY272" s="44"/>
      <c r="AZ272" s="44"/>
      <c r="BA272" s="44"/>
      <c r="BB272" s="44"/>
      <c r="BC272" s="44"/>
      <c r="BD272" s="44"/>
      <c r="BE272" s="44"/>
      <c r="BF272" s="44"/>
      <c r="BG272" s="44"/>
      <c r="BH272" s="21"/>
    </row>
    <row r="273" spans="2:60" ht="15.6" x14ac:dyDescent="0.3">
      <c r="B273" s="68" t="s">
        <v>217</v>
      </c>
      <c r="C273" s="78" t="s">
        <v>218</v>
      </c>
      <c r="D273" s="83" t="s">
        <v>241</v>
      </c>
      <c r="E273" s="55">
        <f>SUM(H273:BG273)</f>
        <v>0</v>
      </c>
      <c r="F273" s="116"/>
      <c r="H273" s="45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  <c r="AG273" s="46"/>
      <c r="AH273" s="46"/>
      <c r="AI273" s="46"/>
      <c r="AJ273" s="46"/>
      <c r="AK273" s="46"/>
      <c r="AL273" s="46"/>
      <c r="AM273" s="46"/>
      <c r="AN273" s="46"/>
      <c r="AO273" s="46"/>
      <c r="AP273" s="46"/>
      <c r="AQ273" s="46"/>
      <c r="AR273" s="46"/>
      <c r="AS273" s="46"/>
      <c r="AT273" s="46"/>
      <c r="AU273" s="46"/>
      <c r="AV273" s="46"/>
      <c r="AW273" s="46"/>
      <c r="AX273" s="46"/>
      <c r="AY273" s="46"/>
      <c r="AZ273" s="46"/>
      <c r="BA273" s="46"/>
      <c r="BB273" s="46"/>
      <c r="BC273" s="46"/>
      <c r="BD273" s="46"/>
      <c r="BE273" s="46"/>
      <c r="BF273" s="46"/>
      <c r="BG273" s="46"/>
      <c r="BH273" s="21"/>
    </row>
    <row r="274" spans="2:60" ht="15.6" x14ac:dyDescent="0.3">
      <c r="B274" s="68"/>
      <c r="C274" s="78"/>
      <c r="D274" s="83" t="s">
        <v>278</v>
      </c>
      <c r="E274" s="56">
        <f ca="1">MAX(H274:BG274)</f>
        <v>0</v>
      </c>
      <c r="F274" s="116"/>
      <c r="H274" s="47"/>
      <c r="I274" s="48"/>
      <c r="J274" s="48"/>
      <c r="K274" s="48"/>
      <c r="L274" s="44"/>
      <c r="M274" s="44"/>
      <c r="N274" s="44"/>
      <c r="O274" s="44"/>
      <c r="P274" s="44"/>
      <c r="Q274" s="44"/>
      <c r="R274" s="44"/>
      <c r="S274" s="44"/>
      <c r="T274" s="44"/>
      <c r="U274" s="44"/>
      <c r="V274" s="44"/>
      <c r="W274" s="44"/>
      <c r="X274" s="44"/>
      <c r="Y274" s="44"/>
      <c r="Z274" s="44"/>
      <c r="AA274" s="44"/>
      <c r="AB274" s="44"/>
      <c r="AC274" s="44"/>
      <c r="AD274" s="44"/>
      <c r="AE274" s="44" t="str">
        <f>IF(SUM(H271:BG271) = AE273, " 0 ", " ")</f>
        <v xml:space="preserve"> </v>
      </c>
      <c r="AF274" s="44" t="str">
        <f ca="1">IF(AF9&gt;WEEKNUM(TODAY())," ", IF(AND(AF10="x",SUM($AE273:AF273)&gt;$AE271),H9-(SUM($AE273:AF273)/SUM($AE271:$BG271)),IF(SUM($AE273:AF273)&gt;=$AE271," ",H9-(SUM($AE273:AF273)/(SUM($AE271:$BG271))))))</f>
        <v xml:space="preserve"> </v>
      </c>
      <c r="AG274" s="44" t="str">
        <f ca="1">IF(AG9&gt;WEEKNUM(TODAY())," ", IF(AND(AG10="x",SUM($AE273:AG273)&gt;$AE271),I9-(SUM($AE273:AG273)/SUM($AE271:$BG271)),IF(SUM($AE273:AG273)&gt;=$AE271," ",I9-(SUM($AE273:AG273)/(SUM($AE271:$BG271))))))</f>
        <v xml:space="preserve"> </v>
      </c>
      <c r="AH274" s="44" t="str">
        <f ca="1">IF(AH9&gt;WEEKNUM(TODAY())," ", IF(AND(AH10="x",SUM($AE273:AH273)&gt;$AE271),J9-(SUM($AE273:AH273)/SUM($AE271:$BG271)),IF(SUM($AE273:AH273)&gt;=$AE271," ",J9-(SUM($AE273:AH273)/(SUM($AE271:$BG271))))))</f>
        <v xml:space="preserve"> </v>
      </c>
      <c r="AI274" s="44" t="str">
        <f ca="1">IF(AI9&gt;WEEKNUM(TODAY())," ", IF(AND(AI10="x",SUM($AE273:AI273)&gt;$AE271),K9-(SUM($AE273:AI273)/SUM($AE271:$BG271)),IF(SUM($AE273:AI273)&gt;=$AE271," ",K9-(SUM($AE273:AI273)/(SUM($AE271:$BG271))))))</f>
        <v xml:space="preserve"> </v>
      </c>
      <c r="AJ274" s="44" t="str">
        <f ca="1">IF(AJ9&gt;WEEKNUM(TODAY())," ", IF(AND(AJ10="x",SUM($AE273:AJ273)&gt;$AE271),L9-(SUM($AE273:AJ273)/SUM($AE271:$BG271)),IF(SUM($AE273:AJ273)&gt;=$AE271," ",L9-(SUM($AE273:AJ273)/(SUM($AE271:$BG271))))))</f>
        <v xml:space="preserve"> </v>
      </c>
      <c r="AK274" s="44" t="str">
        <f ca="1">IF(AK9&gt;WEEKNUM(TODAY())," ", IF(AND(AK10="x",SUM($AE273:AK273)&gt;$AE271),M9-(SUM($AE273:AK273)/SUM($AE271:$BG271)),IF(SUM($AE273:AK273)&gt;=$AE271," ",M9-(SUM($AE273:AK273)/(SUM($AE271:$BG271))))))</f>
        <v xml:space="preserve"> </v>
      </c>
      <c r="AL274" s="44" t="str">
        <f ca="1">IF(AL9&gt;WEEKNUM(TODAY())," ", IF(AND(AL10="x",SUM($AE273:AL273)&gt;$AE271),N9-(SUM($AE273:AL273)/SUM($AE271:$BG271)),IF(SUM($AE273:AL273)&gt;=$AE271," ",N9-(SUM($AE273:AL273)/(SUM($AE271:$BG271))))))</f>
        <v xml:space="preserve"> </v>
      </c>
      <c r="AM274" s="44" t="str">
        <f ca="1">IF(AM9&gt;WEEKNUM(TODAY())," ", IF(AND(AM10="x",SUM($AE273:AM273)&gt;$AE271),O9-(SUM($AE273:AM273)/SUM($AE271:$BG271)),IF(SUM($AE273:AM273)&gt;=$AE271," ",O9-(SUM($AE273:AM273)/(SUM($AE271:$BG271))))))</f>
        <v xml:space="preserve"> </v>
      </c>
      <c r="AN274" s="44" t="str">
        <f ca="1">IF(AN9&gt;WEEKNUM(TODAY())," ", IF(AND(AN10="x",SUM($AE273:AN273)&gt;$AE271),P9-(SUM($AE273:AN273)/SUM($AE271:$BG271)),IF(SUM($AE273:AN273)&gt;=$AE271," ",P9-(SUM($AE273:AN273)/(SUM($AE271:$BG271))))))</f>
        <v xml:space="preserve"> </v>
      </c>
      <c r="AO274" s="44" t="str">
        <f ca="1">IF(AO9&gt;WEEKNUM(TODAY())," ", IF(AND(AO10="x",SUM($AE273:AO273)&gt;$AE271),Q9-(SUM($AE273:AO273)/SUM($AE271:$BG271)),IF(SUM($AE273:AO273)&gt;=$AE271," ",Q9-(SUM($AE273:AO273)/(SUM($AE271:$BG271))))))</f>
        <v xml:space="preserve"> </v>
      </c>
      <c r="AP274" s="44" t="str">
        <f ca="1">IF(AP9&gt;WEEKNUM(TODAY())," ", IF(AND(AP10="x",SUM($AE273:AP273)&gt;$AE271),R9-(SUM($AE273:AP273)/SUM($AE271:$BG271)),IF(SUM($AE273:AP273)&gt;=$AE271," ",R9-(SUM($AE273:AP273)/(SUM($AE271:$BG271))))))</f>
        <v xml:space="preserve"> </v>
      </c>
      <c r="AQ274" s="44" t="str">
        <f ca="1">IF(AQ9&gt;WEEKNUM(TODAY())," ", IF(AND(AQ10="x",SUM($AE273:AQ273)&gt;$AE271),S9-(SUM($AE273:AQ273)/SUM($AE271:$BG271)),IF(SUM($AE273:AQ273)&gt;=$AE271," ",S9-(SUM($AE273:AQ273)/(SUM($AE271:$BG271))))))</f>
        <v xml:space="preserve"> </v>
      </c>
      <c r="AR274" s="44" t="str">
        <f ca="1">IF(AR9&gt;WEEKNUM(TODAY())," ", IF(AND(AR10="x",SUM($AE273:AR273)&gt;$AE271),T9-(SUM($AE273:AR273)/SUM($AE271:$BG271)),IF(SUM($AE273:AR273)&gt;=$AE271," ",T9-(SUM($AE273:AR273)/(SUM($AE271:$BG271))))))</f>
        <v xml:space="preserve"> </v>
      </c>
      <c r="AS274" s="44" t="str">
        <f ca="1">IF(AS9&gt;WEEKNUM(TODAY())," ", IF(AND(AS10="x",SUM($AE273:AS273)&gt;$AE271),U9-(SUM($AE273:AS273)/SUM($AE271:$BG271)),IF(SUM($AE273:AS273)&gt;=$AE271," ",U9-(SUM($AE273:AS273)/(SUM($AE271:$BG271))))))</f>
        <v xml:space="preserve"> </v>
      </c>
      <c r="AT274" s="44" t="str">
        <f ca="1">IF(AT9&gt;WEEKNUM(TODAY())," ", IF(AND(AT10="x",SUM($AE273:AT273)&gt;$AE271),V9-(SUM($AE273:AT273)/SUM($AE271:$BG271)),IF(SUM($AE273:AT273)&gt;=$AE271," ",V9-(SUM($AE273:AT273)/(SUM($AE271:$BG271))))))</f>
        <v xml:space="preserve"> </v>
      </c>
      <c r="AU274" s="44" t="str">
        <f ca="1">IF(AU9&gt;WEEKNUM(TODAY())," ", IF(AND(AU10="x",SUM($AE273:AU273)&gt;$AE271),W9-(SUM($AE273:AU273)/SUM($AE271:$BG271)),IF(SUM($AE273:AU273)&gt;=$AE271," ",W9-(SUM($AE273:AU273)/(SUM($AE271:$BG271))))))</f>
        <v xml:space="preserve"> </v>
      </c>
      <c r="AV274" s="44" t="str">
        <f ca="1">IF(AV9&gt;WEEKNUM(TODAY())," ", IF(AND(AV10="x",SUM($AE273:AV273)&gt;$AE271),X9-(SUM($AE273:AV273)/SUM($AE271:$BG271)),IF(SUM($AE273:AV273)&gt;=$AE271," ",X9-(SUM($AE273:AV273)/(SUM($AE271:$BG271))))))</f>
        <v xml:space="preserve"> </v>
      </c>
      <c r="AW274" s="44" t="str">
        <f ca="1">IF(AW9&gt;WEEKNUM(TODAY())," ", IF(AND(AW10="x",SUM($AE273:AW273)&gt;$AE271),Y9-(SUM($AE273:AW273)/SUM($AE271:$BG271)),IF(SUM($AE273:AW273)&gt;=$AE271," ",Y9-(SUM($AE273:AW273)/(SUM($AE271:$BG271))))))</f>
        <v xml:space="preserve"> </v>
      </c>
      <c r="AX274" s="44" t="str">
        <f ca="1">IF(AX9&gt;WEEKNUM(TODAY())," ", IF(AND(AX10="x",SUM($AE273:AX273)&gt;$AE271),Z9-(SUM($AE273:AX273)/SUM($AE271:$BG271)),IF(SUM($AE273:AX273)&gt;=$AE271," ",Z9-(SUM($AE273:AX273)/(SUM($AE271:$BG271))))))</f>
        <v xml:space="preserve"> </v>
      </c>
      <c r="AY274" s="44" t="str">
        <f ca="1">IF(AY9&gt;WEEKNUM(TODAY())," ", IF(AND(AY10="x",SUM($AE273:AY273)&gt;$AE271),AA9-(SUM($AE273:AY273)/SUM($AE271:$BG271)),IF(SUM($AE273:AY273)&gt;=$AE271," ",AA9-(SUM($AE273:AY273)/(SUM($AE271:$BG271))))))</f>
        <v xml:space="preserve"> </v>
      </c>
      <c r="AZ274" s="44" t="str">
        <f ca="1">IF(AZ9&gt;WEEKNUM(TODAY())," ", IF(AND(AZ10="x",SUM($AE273:AZ273)&gt;$AE271),AB9-(SUM($AE273:AZ273)/SUM($AE271:$BG271)),IF(SUM($AE273:AZ273)&gt;=$AE271," ",AB9-(SUM($AE273:AZ273)/(SUM($AE271:$BG271))))))</f>
        <v xml:space="preserve"> </v>
      </c>
      <c r="BA274" s="44" t="str">
        <f ca="1">IF(BA9&gt;WEEKNUM(TODAY())," ", IF(AND(BA10="x",SUM($AE273:BA273)&gt;$AE271),AC9-(SUM($AE273:BA273)/SUM($AE271:$BG271)),IF(SUM($AE273:BA273)&gt;=$AE271," ",AC9-(SUM($AE273:BA273)/(SUM($AE271:$BG271))))))</f>
        <v xml:space="preserve"> </v>
      </c>
      <c r="BB274" s="44" t="str">
        <f ca="1">IF(BB9&gt;WEEKNUM(TODAY())," ", IF(AND(BB10="x",SUM($AE273:BB273)&gt;$AE271),AD9-(SUM($AE273:BB273)/SUM($AE271:$BG271)),IF(SUM($AE273:BB273)&gt;=$AE271," ",AD9-(SUM($AE273:BB273)/(SUM($AE271:$BG271))))))</f>
        <v xml:space="preserve"> </v>
      </c>
      <c r="BC274" s="44" t="str">
        <f ca="1">IF(BC9&gt;WEEKNUM(TODAY())," ", IF(AND(BC10="x",SUM($AE273:BC273)&gt;$AE271),AE9-(SUM($AE273:BC273)/SUM($AE271:$BG271)),IF(SUM($AE273:BC273)&gt;=$AE271," ",AE9-(SUM($AE273:BC273)/(SUM($AE271:$BG271))))))</f>
        <v xml:space="preserve"> </v>
      </c>
      <c r="BD274" s="44" t="str">
        <f ca="1">IF(BD9&gt;WEEKNUM(TODAY())," ", IF(AND(BD10="x",SUM($AE273:BD273)&gt;$AE271),AF9-(SUM($AE273:BD273)/SUM($AE271:$BG271)),IF(SUM($AE273:BD273)&gt;=$AE271," ",AF9-(SUM($AE273:BD273)/(SUM($AE271:$BG271))))))</f>
        <v xml:space="preserve"> </v>
      </c>
      <c r="BE274" s="44" t="str">
        <f ca="1">IF(BE9&gt;WEEKNUM(TODAY())," ", IF(AND(BE10="x",SUM($AE273:BE273)&gt;$AE271),AG9-(SUM($AE273:BE273)/SUM($AE271:$BG271)),IF(SUM($AE273:BE273)&gt;=$AE271," ",AG9-(SUM($AE273:BE273)/(SUM($AE271:$BG271))))))</f>
        <v xml:space="preserve"> </v>
      </c>
      <c r="BF274" s="44" t="str">
        <f ca="1">IF(BF9&gt;WEEKNUM(TODAY())," ", IF(AND(BF10="x",SUM($AE273:BF273)&gt;$AE271),AH9-(SUM($AE273:BF273)/SUM($AE271:$BG271)),IF(SUM($AE273:BF273)&gt;=$AE271," ",AH9-(SUM($AE273:BF273)/(SUM($AE271:$BG271))))))</f>
        <v xml:space="preserve"> </v>
      </c>
      <c r="BG274" s="44" t="str">
        <f ca="1">IF(BG9&gt;WEEKNUM(TODAY())," ", IF(AND(BG10="x",SUM($AE273:BG273)&gt;$AE271),AI9-(SUM($AE273:BG273)/SUM($AE271:$BG271)),IF(SUM($AE273:BG273)&gt;=$AE271," ",AI9-(SUM($AE273:BG273)/(SUM($AE271:$BG271))))))</f>
        <v xml:space="preserve"> </v>
      </c>
      <c r="BH274" s="21"/>
    </row>
    <row r="275" spans="2:60" ht="16.2" thickBot="1" x14ac:dyDescent="0.35">
      <c r="B275" s="70"/>
      <c r="C275" s="79"/>
      <c r="D275" s="84"/>
      <c r="E275" s="57"/>
      <c r="F275" s="117"/>
      <c r="H275" s="49" t="str">
        <f>IF(H271= " ", " ",IF(H273&gt;SUM($H271:$BG271), " N/A", IF(SUM($H273:$BG273)=SUM($H271:BG271), " ", IF(H273=SUM($H271:BG271), " ", "x"))))</f>
        <v>x</v>
      </c>
      <c r="I275" s="49" t="str">
        <f>IF(I271= " ", " ",IF(I273&gt;SUM($H271:$BG271), " N/A", IF(SUM($H273:$BG273)=SUM($H271:BH271), " ", IF(I273=SUM($H271:BH271), " ", "x"))))</f>
        <v>x</v>
      </c>
      <c r="J275" s="49" t="str">
        <f>IF(J271= " ", " ",IF(J273&gt;SUM($H271:$BG271), " N/A", IF(SUM($H273:$BG273)=SUM($H271:BI271), " ", IF(J273=SUM($H271:BI271), " ", "x"))))</f>
        <v>x</v>
      </c>
      <c r="K275" s="49" t="str">
        <f>IF(K271= " ", " ",IF(K273&gt;SUM($H271:$BG271), " N/A", IF(SUM($H273:$BG273)=SUM($H271:BJ271), " ", IF(K273=SUM($H271:BJ271), " ", "x"))))</f>
        <v>x</v>
      </c>
      <c r="L275" s="49" t="str">
        <f>IF(L271= " ", " ",IF(L273&gt;SUM($H271:$BG271), " N/A", IF(SUM($H273:$BG273)=SUM($H271:BK271), " ", IF(L273=SUM($H271:BK271), " ", "x"))))</f>
        <v>x</v>
      </c>
      <c r="M275" s="49" t="str">
        <f>IF(M271= " ", " ",IF(M273&gt;SUM($H271:$BG271), " N/A", IF(SUM($H273:$BG273)=SUM($H271:BL271), " ", IF(M273=SUM($H271:BL271), " ", "x"))))</f>
        <v>x</v>
      </c>
      <c r="N275" s="49" t="str">
        <f>IF(N271= " ", " ",IF(N273&gt;SUM($H271:$BG271), " N/A", IF(SUM($H273:$BG273)=SUM($H271:BM271), " ", IF(N273=SUM($H271:BM271), " ", "x"))))</f>
        <v>x</v>
      </c>
      <c r="O275" s="49" t="str">
        <f>IF(O271= " ", " ",IF(O273&gt;SUM($H271:$BG271), " N/A", IF(SUM($H273:$BG273)=SUM($H271:BN271), " ", IF(O273=SUM($H271:BN271), " ", "x"))))</f>
        <v>x</v>
      </c>
      <c r="P275" s="49" t="str">
        <f>IF(P271= " ", " ",IF(P273&gt;SUM($H271:$BG271), " N/A", IF(SUM($H273:$BG273)=SUM($H271:BO271), " ", IF(P273=SUM($H271:BO271), " ", "x"))))</f>
        <v>x</v>
      </c>
      <c r="Q275" s="49" t="str">
        <f>IF(Q271= " ", " ",IF(Q273&gt;SUM($H271:$BG271), " N/A", IF(SUM($H273:$BG273)=SUM($H271:BP271), " ", IF(Q273=SUM($H271:BP271), " ", "x"))))</f>
        <v>x</v>
      </c>
      <c r="R275" s="49" t="str">
        <f>IF(R271= " ", " ",IF(R273&gt;SUM($H271:$BG271), " N/A", IF(SUM($H273:$BG273)=SUM($H271:BQ271), " ", IF(R273=SUM($H271:BQ271), " ", "x"))))</f>
        <v>x</v>
      </c>
      <c r="S275" s="49" t="str">
        <f>IF(S271= " ", " ",IF(S273&gt;SUM($H271:$BG271), " N/A", IF(SUM($H273:$BG273)=SUM($H271:BR271), " ", IF(S273=SUM($H271:BR271), " ", "x"))))</f>
        <v>x</v>
      </c>
      <c r="T275" s="49" t="str">
        <f>IF(T271= " ", " ",IF(T273&gt;SUM($H271:$BG271), " N/A", IF(SUM($H273:$BG273)=SUM($H271:BS271), " ", IF(T273=SUM($H271:BS271), " ", "x"))))</f>
        <v>x</v>
      </c>
      <c r="U275" s="49" t="str">
        <f>IF(U271= " ", " ",IF(U273&gt;SUM($H271:$BG271), " N/A", IF(SUM($H273:$BG273)=SUM($H271:BT271), " ", IF(U273=SUM($H271:BT271), " ", "x"))))</f>
        <v>x</v>
      </c>
      <c r="V275" s="49" t="str">
        <f>IF(V271= " ", " ",IF(V273&gt;SUM($H271:$BG271), " N/A", IF(SUM($H273:$BG273)=SUM($H271:BU271), " ", IF(V273=SUM($H271:BU271), " ", "x"))))</f>
        <v>x</v>
      </c>
      <c r="W275" s="49" t="str">
        <f>IF(W271= " ", " ",IF(W273&gt;SUM($H271:$BG271), " N/A", IF(SUM($H273:$BG273)=SUM($H271:BV271), " ", IF(W273=SUM($H271:BV271), " ", "x"))))</f>
        <v>x</v>
      </c>
      <c r="X275" s="49" t="str">
        <f>IF(X271= " ", " ",IF(X273&gt;SUM($H271:$BG271), " N/A", IF(SUM($H273:$BG273)=SUM($H271:BW271), " ", IF(X273=SUM($H271:BW271), " ", "x"))))</f>
        <v>x</v>
      </c>
      <c r="Y275" s="49" t="str">
        <f>IF(Y271= " ", " ",IF(Y273&gt;SUM($H271:$BG271), " N/A", IF(SUM($H273:$BG273)=SUM($H271:BX271), " ", IF(Y273=SUM($H271:BX271), " ", "x"))))</f>
        <v>x</v>
      </c>
      <c r="Z275" s="49" t="str">
        <f>IF(Z271= " ", " ",IF(Z273&gt;SUM($H271:$BG271), " N/A", IF(SUM($H273:$BG273)=SUM($H271:BY271), " ", IF(Z273=SUM($H271:BY271), " ", "x"))))</f>
        <v>x</v>
      </c>
      <c r="AA275" s="49" t="str">
        <f>IF(AA271= " ", " ",IF(AA273&gt;SUM($H271:$BG271), " N/A", IF(SUM($H273:$BG273)=SUM($H271:BZ271), " ", IF(AA273=SUM($H271:BZ271), " ", "x"))))</f>
        <v>x</v>
      </c>
      <c r="AB275" s="49" t="str">
        <f>IF(AB271= " ", " ",IF(AB273&gt;SUM($H271:$BG271), " N/A", IF(SUM($H273:$BG273)=SUM($H271:CA271), " ", IF(AB273=SUM($H271:CA271), " ", "x"))))</f>
        <v>x</v>
      </c>
      <c r="AC275" s="49" t="str">
        <f>IF(AC271= " ", " ",IF(AC273&gt;SUM($H271:$BG271), " N/A", IF(SUM($H273:$BG273)=SUM($H271:CB271), " ", IF(AC273=SUM($H271:CB271), " ", "x"))))</f>
        <v>x</v>
      </c>
      <c r="AD275" s="49" t="str">
        <f>IF(AD271= " ", " ",IF(AD273&gt;SUM($H271:$BG271), " N/A", IF(SUM($H273:$BG273)=SUM($H271:CC271), " ", IF(AD273=SUM($H271:CC271), " ", "x"))))</f>
        <v>x</v>
      </c>
      <c r="AE275" s="49" t="str">
        <f>IF(AE271= " ", " ",IF(AE273&gt;SUM($H271:$BG271), " N/A", IF(SUM($H273:$BG273)=SUM($H271:CD271), " ", IF(AE273=SUM($H271:CD271), " ", "x"))))</f>
        <v>x</v>
      </c>
      <c r="AF275" s="49" t="str">
        <f>IF(AF271= " ", " ",IF(AF273&gt;SUM($H271:$BG271), " N/A", IF(SUM($H273:$BG273)=SUM($H271:CE271), " ", IF(AF273=SUM($H271:CE271), " ", "x"))))</f>
        <v>x</v>
      </c>
      <c r="AG275" s="49" t="str">
        <f>IF(AG271= " ", " ",IF(AG273&gt;SUM($H271:$BG271), " N/A", IF(SUM($H273:$BG273)=SUM($H271:CF271), " ", IF(AG273=SUM($H271:CF271), " ", "x"))))</f>
        <v>x</v>
      </c>
      <c r="AH275" s="49" t="str">
        <f>IF(AH271= " ", " ",IF(AH273&gt;SUM($H271:$BG271), " N/A", IF(SUM($H273:$BG273)=SUM($H271:CG271), " ", IF(AH273=SUM($H271:CG271), " ", "x"))))</f>
        <v>x</v>
      </c>
      <c r="AI275" s="49" t="str">
        <f>IF(AI271= " ", " ",IF(AI273&gt;SUM($H271:$BG271), " N/A", IF(SUM($H273:$BG273)=SUM($H271:CH271), " ", IF(AI273=SUM($H271:CH271), " ", "x"))))</f>
        <v>x</v>
      </c>
      <c r="AJ275" s="49" t="str">
        <f>IF(AJ271= " ", " ",IF(AJ273&gt;SUM($H271:$BG271), " N/A", IF(SUM($H273:$BG273)=SUM($H271:CI271), " ", IF(AJ273=SUM($H271:CI271), " ", "x"))))</f>
        <v>x</v>
      </c>
      <c r="AK275" s="49" t="str">
        <f>IF(AK271= " ", " ",IF(AK273&gt;SUM($H271:$BG271), " N/A", IF(SUM($H273:$BG273)=SUM($H271:CJ271), " ", IF(AK273=SUM($H271:CJ271), " ", "x"))))</f>
        <v>x</v>
      </c>
      <c r="AL275" s="49" t="str">
        <f>IF(AL271= " ", " ",IF(AL273&gt;SUM($H271:$BG271), " N/A", IF(SUM($H273:$BG273)=SUM($H271:CK271), " ", IF(AL273=SUM($H271:CK271), " ", "x"))))</f>
        <v>x</v>
      </c>
      <c r="AM275" s="49" t="str">
        <f>IF(AM271= " ", " ",IF(AM273&gt;SUM($H271:$BG271), " N/A", IF(SUM($H273:$BG273)=SUM($H271:CL271), " ", IF(AM273=SUM($H271:CL271), " ", "x"))))</f>
        <v>x</v>
      </c>
      <c r="AN275" s="49" t="str">
        <f>IF(AN271= " ", " ",IF(AN273&gt;SUM($H271:$BG271), " N/A", IF(SUM($H273:$BG273)=SUM($H271:CM271), " ", IF(AN273=SUM($H271:CM271), " ", "x"))))</f>
        <v>x</v>
      </c>
      <c r="AO275" s="49" t="str">
        <f>IF(AO271= " ", " ",IF(AO273&gt;SUM($H271:$BG271), " N/A", IF(SUM($H273:$BG273)=SUM($H271:CN271), " ", IF(AO273=SUM($H271:CN271), " ", "x"))))</f>
        <v>x</v>
      </c>
      <c r="AP275" s="49" t="str">
        <f>IF(AP271= " ", " ",IF(AP273&gt;SUM($H271:$BG271), " N/A", IF(SUM($H273:$BG273)=SUM($H271:CO271), " ", IF(AP273=SUM($H271:CO271), " ", "x"))))</f>
        <v>x</v>
      </c>
      <c r="AQ275" s="49" t="str">
        <f>IF(AQ271= " ", " ",IF(AQ273&gt;SUM($H271:$BG271), " N/A", IF(SUM($H273:$BG273)=SUM($H271:CP271), " ", IF(AQ273=SUM($H271:CP271), " ", "x"))))</f>
        <v>x</v>
      </c>
      <c r="AR275" s="49" t="str">
        <f>IF(AR271= " ", " ",IF(AR273&gt;SUM($H271:$BG271), " N/A", IF(SUM($H273:$BG273)=SUM($H271:CQ271), " ", IF(AR273=SUM($H271:CQ271), " ", "x"))))</f>
        <v>x</v>
      </c>
      <c r="AS275" s="49" t="str">
        <f>IF(AS271= " ", " ",IF(AS273&gt;SUM($H271:$BG271), " N/A", IF(SUM($H273:$BG273)=SUM($H271:CR271), " ", IF(AS273=SUM($H271:CR271), " ", "x"))))</f>
        <v>x</v>
      </c>
      <c r="AT275" s="49" t="str">
        <f>IF(AT271= " ", " ",IF(AT273&gt;SUM($H271:$BG271), " N/A", IF(SUM($H273:$BG273)=SUM($H271:CS271), " ", IF(AT273=SUM($H271:CS271), " ", "x"))))</f>
        <v>x</v>
      </c>
      <c r="AU275" s="49" t="str">
        <f>IF(AU271= " ", " ",IF(AU273&gt;SUM($H271:$BG271), " N/A", IF(SUM($H273:$BG273)=SUM($H271:CT271), " ", IF(AU273=SUM($H271:CT271), " ", "x"))))</f>
        <v>x</v>
      </c>
      <c r="AV275" s="49" t="str">
        <f>IF(AV271= " ", " ",IF(AV273&gt;SUM($H271:$BG271), " N/A", IF(SUM($H273:$BG273)=SUM($H271:CU271), " ", IF(AV273=SUM($H271:CU271), " ", "x"))))</f>
        <v>x</v>
      </c>
      <c r="AW275" s="49" t="str">
        <f>IF(AW271= " ", " ",IF(AW273&gt;SUM($H271:$BG271), " N/A", IF(SUM($H273:$BG273)=SUM($H271:CV271), " ", IF(AW273=SUM($H271:CV271), " ", "x"))))</f>
        <v>x</v>
      </c>
      <c r="AX275" s="49" t="str">
        <f>IF(AX271= " ", " ",IF(AX273&gt;SUM($H271:$BG271), " N/A", IF(SUM($H273:$BG273)=SUM($H271:CW271), " ", IF(AX273=SUM($H271:CW271), " ", "x"))))</f>
        <v>x</v>
      </c>
      <c r="AY275" s="49" t="str">
        <f>IF(AY271= " ", " ",IF(AY273&gt;SUM($H271:$BG271), " N/A", IF(SUM($H273:$BG273)=SUM($H271:CX271), " ", IF(AY273=SUM($H271:CX271), " ", "x"))))</f>
        <v>x</v>
      </c>
      <c r="AZ275" s="49" t="str">
        <f>IF(AZ271= " ", " ",IF(AZ273&gt;SUM($H271:$BG271), " N/A", IF(SUM($H273:$BG273)=SUM($H271:CY271), " ", IF(AZ273=SUM($H271:CY271), " ", "x"))))</f>
        <v>x</v>
      </c>
      <c r="BA275" s="49" t="str">
        <f>IF(BA271= " ", " ",IF(BA273&gt;SUM($H271:$BG271), " N/A", IF(SUM($H273:$BG273)=SUM($H271:CZ271), " ", IF(BA273=SUM($H271:CZ271), " ", "x"))))</f>
        <v>x</v>
      </c>
      <c r="BB275" s="49" t="str">
        <f>IF(BB271= " ", " ",IF(BB273&gt;SUM($H271:$BG271), " N/A", IF(SUM($H273:$BG273)=SUM($H271:DA271), " ", IF(BB273=SUM($H271:DA271), " ", "x"))))</f>
        <v>x</v>
      </c>
      <c r="BC275" s="49" t="str">
        <f>IF(BC271= " ", " ",IF(BC273&gt;SUM($H271:$BG271), " N/A", IF(SUM($H273:$BG273)=SUM($H271:DB271), " ", IF(BC273=SUM($H271:DB271), " ", "x"))))</f>
        <v>x</v>
      </c>
      <c r="BD275" s="49" t="str">
        <f>IF(BD271= " ", " ",IF(BD273&gt;SUM($H271:$BG271), " N/A", IF(SUM($H273:$BG273)=SUM($H271:DC271), " ", IF(BD273=SUM($H271:DC271), " ", "x"))))</f>
        <v>x</v>
      </c>
      <c r="BE275" s="49" t="str">
        <f>IF(BE271= " ", " ",IF(BE273&gt;SUM($H271:$BG271), " N/A", IF(SUM($H273:$BG273)=SUM($H271:DD271), " ", IF(BE273=SUM($H271:DD271), " ", "x"))))</f>
        <v>x</v>
      </c>
      <c r="BF275" s="49" t="str">
        <f>IF(BF271= " ", " ",IF(BF273&gt;SUM($H271:$BG271), " N/A", IF(SUM($H273:$BG273)=SUM($H271:DE271), " ", IF(BF273=SUM($H271:DE271), " ", "x"))))</f>
        <v>x</v>
      </c>
      <c r="BG275" s="49" t="str">
        <f>IF(BG271= " ", " ",IF(BG273&gt;SUM($H271:$BG271), " N/A", IF(SUM($H273:$BG273)=SUM($H271:DF271), " ", IF(BG273=SUM($H271:DF271), " ", "x"))))</f>
        <v>x</v>
      </c>
      <c r="BH275" s="21"/>
    </row>
    <row r="276" spans="2:60" ht="15.6" x14ac:dyDescent="0.3">
      <c r="B276" s="71"/>
      <c r="C276" s="77"/>
      <c r="D276" s="82" t="s">
        <v>249</v>
      </c>
      <c r="E276" s="54">
        <f>SUM(H276:BG276)</f>
        <v>16</v>
      </c>
      <c r="F276" s="115">
        <f>Gant_24!$E276-E278</f>
        <v>0</v>
      </c>
      <c r="H276" s="41"/>
      <c r="I276" s="42"/>
      <c r="J276" s="42"/>
      <c r="K276" s="42"/>
      <c r="L276" s="51"/>
      <c r="M276" s="51"/>
      <c r="N276" s="51"/>
      <c r="O276" s="51"/>
      <c r="P276" s="51"/>
      <c r="Q276" s="51"/>
      <c r="R276" s="51"/>
      <c r="S276" s="51"/>
      <c r="T276" s="51"/>
      <c r="U276" s="51"/>
      <c r="V276" s="51"/>
      <c r="W276" s="51"/>
      <c r="X276" s="51"/>
      <c r="Y276" s="51"/>
      <c r="Z276" s="51"/>
      <c r="AA276" s="51"/>
      <c r="AB276" s="51"/>
      <c r="AC276" s="51"/>
      <c r="AD276" s="51"/>
      <c r="AE276" s="51">
        <v>16</v>
      </c>
      <c r="AF276" s="42"/>
      <c r="AG276" s="51"/>
      <c r="AH276" s="51"/>
      <c r="AI276" s="51"/>
      <c r="AJ276" s="51"/>
      <c r="AK276" s="51"/>
      <c r="AL276" s="51"/>
      <c r="AM276" s="51"/>
      <c r="AN276" s="51"/>
      <c r="AO276" s="51"/>
      <c r="AP276" s="51"/>
      <c r="AQ276" s="51"/>
      <c r="AR276" s="51"/>
      <c r="AS276" s="51"/>
      <c r="AT276" s="51"/>
      <c r="AU276" s="51"/>
      <c r="AV276" s="51"/>
      <c r="AW276" s="51"/>
      <c r="AX276" s="51"/>
      <c r="AY276" s="51"/>
      <c r="AZ276" s="51"/>
      <c r="BA276" s="51"/>
      <c r="BB276" s="51"/>
      <c r="BC276" s="51"/>
      <c r="BD276" s="51"/>
      <c r="BE276" s="51"/>
      <c r="BF276" s="51"/>
      <c r="BG276" s="51"/>
      <c r="BH276" s="21"/>
    </row>
    <row r="277" spans="2:60" ht="15.6" x14ac:dyDescent="0.3">
      <c r="B277" s="68"/>
      <c r="C277" s="78"/>
      <c r="D277" s="83" t="s">
        <v>261</v>
      </c>
      <c r="E277" s="55">
        <f>SUM(H277:BG277)</f>
        <v>0</v>
      </c>
      <c r="F277" s="116"/>
      <c r="H277" s="43"/>
      <c r="I277" s="44"/>
      <c r="J277" s="44"/>
      <c r="K277" s="44"/>
      <c r="L277" s="50"/>
      <c r="M277" s="50"/>
      <c r="N277" s="50"/>
      <c r="O277" s="50"/>
      <c r="P277" s="50"/>
      <c r="Q277" s="50"/>
      <c r="R277" s="50"/>
      <c r="S277" s="50"/>
      <c r="T277" s="50"/>
      <c r="U277" s="50"/>
      <c r="V277" s="50"/>
      <c r="W277" s="50"/>
      <c r="X277" s="50"/>
      <c r="Y277" s="50"/>
      <c r="Z277" s="50"/>
      <c r="AA277" s="50"/>
      <c r="AB277" s="50"/>
      <c r="AC277" s="50"/>
      <c r="AD277" s="50"/>
      <c r="AE277" s="50"/>
      <c r="AF277" s="44"/>
      <c r="AG277" s="50"/>
      <c r="AH277" s="50"/>
      <c r="AI277" s="50"/>
      <c r="AJ277" s="50"/>
      <c r="AK277" s="50"/>
      <c r="AL277" s="50"/>
      <c r="AM277" s="50"/>
      <c r="AN277" s="50"/>
      <c r="AO277" s="50"/>
      <c r="AP277" s="50"/>
      <c r="AQ277" s="50"/>
      <c r="AR277" s="50"/>
      <c r="AS277" s="50"/>
      <c r="AT277" s="50"/>
      <c r="AU277" s="50"/>
      <c r="AV277" s="50"/>
      <c r="AW277" s="50"/>
      <c r="AX277" s="50"/>
      <c r="AY277" s="50"/>
      <c r="AZ277" s="50"/>
      <c r="BA277" s="50"/>
      <c r="BB277" s="50"/>
      <c r="BC277" s="50"/>
      <c r="BD277" s="50"/>
      <c r="BE277" s="50"/>
      <c r="BF277" s="50"/>
      <c r="BG277" s="50"/>
      <c r="BH277" s="21"/>
    </row>
    <row r="278" spans="2:60" ht="15.6" x14ac:dyDescent="0.3">
      <c r="B278" s="68" t="s">
        <v>220</v>
      </c>
      <c r="C278" s="78" t="s">
        <v>221</v>
      </c>
      <c r="D278" s="83" t="s">
        <v>241</v>
      </c>
      <c r="E278" s="55">
        <f>SUM(H278:BG278)</f>
        <v>16</v>
      </c>
      <c r="F278" s="116"/>
      <c r="H278" s="45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  <c r="AG278" s="46"/>
      <c r="AH278" s="46">
        <v>16</v>
      </c>
      <c r="AI278" s="46"/>
      <c r="AJ278" s="46"/>
      <c r="AK278" s="46"/>
      <c r="AL278" s="46"/>
      <c r="AM278" s="46"/>
      <c r="AN278" s="46"/>
      <c r="AO278" s="46"/>
      <c r="AP278" s="46"/>
      <c r="AQ278" s="46"/>
      <c r="AR278" s="46"/>
      <c r="AS278" s="46"/>
      <c r="AT278" s="46"/>
      <c r="AU278" s="46"/>
      <c r="AV278" s="46"/>
      <c r="AW278" s="46"/>
      <c r="AX278" s="46"/>
      <c r="AY278" s="46"/>
      <c r="AZ278" s="46"/>
      <c r="BA278" s="46"/>
      <c r="BB278" s="46"/>
      <c r="BC278" s="46"/>
      <c r="BD278" s="46"/>
      <c r="BE278" s="46"/>
      <c r="BF278" s="46"/>
      <c r="BG278" s="46"/>
      <c r="BH278" s="21"/>
    </row>
    <row r="279" spans="2:60" ht="15.6" x14ac:dyDescent="0.3">
      <c r="B279" s="68"/>
      <c r="C279" s="78"/>
      <c r="D279" s="83" t="s">
        <v>278</v>
      </c>
      <c r="E279" s="56">
        <f ca="1">MAX(H279:BG279)</f>
        <v>0</v>
      </c>
      <c r="F279" s="116"/>
      <c r="H279" s="47"/>
      <c r="I279" s="48"/>
      <c r="J279" s="48"/>
      <c r="K279" s="48"/>
      <c r="L279" s="50"/>
      <c r="M279" s="50"/>
      <c r="N279" s="50"/>
      <c r="O279" s="50"/>
      <c r="P279" s="50"/>
      <c r="Q279" s="50"/>
      <c r="R279" s="50"/>
      <c r="S279" s="50"/>
      <c r="T279" s="50"/>
      <c r="U279" s="50"/>
      <c r="V279" s="50"/>
      <c r="W279" s="50"/>
      <c r="X279" s="50"/>
      <c r="Y279" s="50"/>
      <c r="Z279" s="50"/>
      <c r="AA279" s="44"/>
      <c r="AB279" s="44"/>
      <c r="AC279" s="44"/>
      <c r="AD279" s="44"/>
      <c r="AE279" s="44" t="str">
        <f>IF(SUM(H276:BG276) = AE278, " 0 ", " ")</f>
        <v xml:space="preserve"> </v>
      </c>
      <c r="AF279" s="44" t="str">
        <f ca="1">IF(AF9&gt;WEEKNUM(TODAY())," ", IF(AND(AF10="x",SUM($AE278:AF278)&gt;$AE276),H9-(SUM($AE278:AF278)/SUM($AE276:$BG276)),IF(SUM($AE278:AF278)&gt;=$AE276," ",H9-(SUM($AE278:AF278)/(SUM($AE276:$BG276))))))</f>
        <v xml:space="preserve"> </v>
      </c>
      <c r="AG279" s="44" t="str">
        <f ca="1">IF(AG9&gt;WEEKNUM(TODAY())," ", IF(AND(AG10="x",SUM($AE278:AG278)&gt;$AE276),I9-(SUM($AE278:AG278)/SUM($AE276:$BG276)),IF(SUM($AE278:AG278)&gt;=$AE276," ",I9-(SUM($AE278:AG278)/(SUM($AE276:$BG276))))))</f>
        <v xml:space="preserve"> </v>
      </c>
      <c r="AH279" s="44" t="str">
        <f ca="1">IF(AH9&gt;WEEKNUM(TODAY())," ", IF(AND(AH10="x",SUM($AE278:AH278)&gt;$AE276),J9-(SUM($AE278:AH278)/SUM($AE276:$BG276)),IF(SUM($AE278:AH278)&gt;=$AE276," ",J9-(SUM($AE278:AH278)/(SUM($AE276:$BG276))))))</f>
        <v xml:space="preserve"> </v>
      </c>
      <c r="AI279" s="44" t="str">
        <f ca="1">IF(AI9&gt;WEEKNUM(TODAY())," ", IF(AND(AI10="x",SUM($AE278:AI278)&gt;$AE276),K9-(SUM($AE278:AI278)/SUM($AE276:$BG276)),IF(SUM($AE278:AI278)&gt;=$AE276," ",K9-(SUM($AE278:AI278)/(SUM($AE276:$BG276))))))</f>
        <v xml:space="preserve"> </v>
      </c>
      <c r="AJ279" s="44" t="str">
        <f ca="1">IF(AJ9&gt;WEEKNUM(TODAY())," ", IF(AND(AJ10="x",SUM($AE278:AJ278)&gt;$AE276),L9-(SUM($AE278:AJ278)/SUM($AE276:$BG276)),IF(SUM($AE278:AJ278)&gt;=$AE276," ",L9-(SUM($AE278:AJ278)/(SUM($AE276:$BG276))))))</f>
        <v xml:space="preserve"> </v>
      </c>
      <c r="AK279" s="44" t="str">
        <f ca="1">IF(AK9&gt;WEEKNUM(TODAY())," ", IF(AND(AK10="x",SUM($AE278:AK278)&gt;$AE276),M9-(SUM($AE278:AK278)/SUM($AE276:$BG276)),IF(SUM($AE278:AK278)&gt;=$AE276," ",M9-(SUM($AE278:AK278)/(SUM($AE276:$BG276))))))</f>
        <v xml:space="preserve"> </v>
      </c>
      <c r="AL279" s="44" t="str">
        <f ca="1">IF(AL9&gt;WEEKNUM(TODAY())," ", IF(AND(AL10="x",SUM($AE278:AL278)&gt;$AE276),N9-(SUM($AE278:AL278)/SUM($AE276:$BG276)),IF(SUM($AE278:AL278)&gt;=$AE276," ",N9-(SUM($AE278:AL278)/(SUM($AE276:$BG276))))))</f>
        <v xml:space="preserve"> </v>
      </c>
      <c r="AM279" s="44" t="str">
        <f ca="1">IF(AM9&gt;WEEKNUM(TODAY())," ", IF(AND(AM10="x",SUM($AE278:AM278)&gt;$AE276),O9-(SUM($AE278:AM278)/SUM($AE276:$BG276)),IF(SUM($AE278:AM278)&gt;=$AE276," ",O9-(SUM($AE278:AM278)/(SUM($AE276:$BG276))))))</f>
        <v xml:space="preserve"> </v>
      </c>
      <c r="AN279" s="44" t="str">
        <f ca="1">IF(AN9&gt;WEEKNUM(TODAY())," ", IF(AND(AN10="x",SUM($AE278:AN278)&gt;$AE276),P9-(SUM($AE278:AN278)/SUM($AE276:$BG276)),IF(SUM($AE278:AN278)&gt;=$AE276," ",P9-(SUM($AE278:AN278)/(SUM($AE276:$BG276))))))</f>
        <v xml:space="preserve"> </v>
      </c>
      <c r="AO279" s="44" t="str">
        <f ca="1">IF(AO9&gt;WEEKNUM(TODAY())," ", IF(AND(AO10="x",SUM($AE278:AO278)&gt;$AE276),Q9-(SUM($AE278:AO278)/SUM($AE276:$BG276)),IF(SUM($AE278:AO278)&gt;=$AE276," ",Q9-(SUM($AE278:AO278)/(SUM($AE276:$BG276))))))</f>
        <v xml:space="preserve"> </v>
      </c>
      <c r="AP279" s="44" t="str">
        <f ca="1">IF(AP9&gt;WEEKNUM(TODAY())," ", IF(AND(AP10="x",SUM($AE278:AP278)&gt;$AE276),R9-(SUM($AE278:AP278)/SUM($AE276:$BG276)),IF(SUM($AE278:AP278)&gt;=$AE276," ",R9-(SUM($AE278:AP278)/(SUM($AE276:$BG276))))))</f>
        <v xml:space="preserve"> </v>
      </c>
      <c r="AQ279" s="44" t="str">
        <f ca="1">IF(AQ9&gt;WEEKNUM(TODAY())," ", IF(AND(AQ10="x",SUM($AE278:AQ278)&gt;$AE276),S9-(SUM($AE278:AQ278)/SUM($AE276:$BG276)),IF(SUM($AE278:AQ278)&gt;=$AE276," ",S9-(SUM($AE278:AQ278)/(SUM($AE276:$BG276))))))</f>
        <v xml:space="preserve"> </v>
      </c>
      <c r="AR279" s="44" t="str">
        <f ca="1">IF(AR9&gt;WEEKNUM(TODAY())," ", IF(AND(AR10="x",SUM($AE278:AR278)&gt;$AE276),T9-(SUM($AE278:AR278)/SUM($AE276:$BG276)),IF(SUM($AE278:AR278)&gt;=$AE276," ",T9-(SUM($AE278:AR278)/(SUM($AE276:$BG276))))))</f>
        <v xml:space="preserve"> </v>
      </c>
      <c r="AS279" s="44" t="str">
        <f ca="1">IF(AS9&gt;WEEKNUM(TODAY())," ", IF(AND(AS10="x",SUM($AE278:AS278)&gt;$AE276),U9-(SUM($AE278:AS278)/SUM($AE276:$BG276)),IF(SUM($AE278:AS278)&gt;=$AE276," ",U9-(SUM($AE278:AS278)/(SUM($AE276:$BG276))))))</f>
        <v xml:space="preserve"> </v>
      </c>
      <c r="AT279" s="44" t="str">
        <f ca="1">IF(AT9&gt;WEEKNUM(TODAY())," ", IF(AND(AT10="x",SUM($AE278:AT278)&gt;$AE276),V9-(SUM($AE278:AT278)/SUM($AE276:$BG276)),IF(SUM($AE278:AT278)&gt;=$AE276," ",V9-(SUM($AE278:AT278)/(SUM($AE276:$BG276))))))</f>
        <v xml:space="preserve"> </v>
      </c>
      <c r="AU279" s="44" t="str">
        <f ca="1">IF(AU9&gt;WEEKNUM(TODAY())," ", IF(AND(AU10="x",SUM($AE278:AU278)&gt;$AE276),W9-(SUM($AE278:AU278)/SUM($AE276:$BG276)),IF(SUM($AE278:AU278)&gt;=$AE276," ",W9-(SUM($AE278:AU278)/(SUM($AE276:$BG276))))))</f>
        <v xml:space="preserve"> </v>
      </c>
      <c r="AV279" s="44" t="str">
        <f ca="1">IF(AV9&gt;WEEKNUM(TODAY())," ", IF(AND(AV10="x",SUM($AE278:AV278)&gt;$AE276),X9-(SUM($AE278:AV278)/SUM($AE276:$BG276)),IF(SUM($AE278:AV278)&gt;=$AE276," ",X9-(SUM($AE278:AV278)/(SUM($AE276:$BG276))))))</f>
        <v xml:space="preserve"> </v>
      </c>
      <c r="AW279" s="44" t="str">
        <f ca="1">IF(AW9&gt;WEEKNUM(TODAY())," ", IF(AND(AW10="x",SUM($AE278:AW278)&gt;$AE276),Y9-(SUM($AE278:AW278)/SUM($AE276:$BG276)),IF(SUM($AE278:AW278)&gt;=$AE276," ",Y9-(SUM($AE278:AW278)/(SUM($AE276:$BG276))))))</f>
        <v xml:space="preserve"> </v>
      </c>
      <c r="AX279" s="44" t="str">
        <f ca="1">IF(AX9&gt;WEEKNUM(TODAY())," ", IF(AND(AX10="x",SUM($AE278:AX278)&gt;$AE276),Z9-(SUM($AE278:AX278)/SUM($AE276:$BG276)),IF(SUM($AE278:AX278)&gt;=$AE276," ",Z9-(SUM($AE278:AX278)/(SUM($AE276:$BG276))))))</f>
        <v xml:space="preserve"> </v>
      </c>
      <c r="AY279" s="44" t="str">
        <f ca="1">IF(AY9&gt;WEEKNUM(TODAY())," ", IF(AND(AY10="x",SUM($AE278:AY278)&gt;$AE276),AA9-(SUM($AE278:AY278)/SUM($AE276:$BG276)),IF(SUM($AE278:AY278)&gt;=$AE276," ",AA9-(SUM($AE278:AY278)/(SUM($AE276:$BG276))))))</f>
        <v xml:space="preserve"> </v>
      </c>
      <c r="AZ279" s="44" t="str">
        <f ca="1">IF(AZ9&gt;WEEKNUM(TODAY())," ", IF(AND(AZ10="x",SUM($AE278:AZ278)&gt;$AE276),AB9-(SUM($AE278:AZ278)/SUM($AE276:$BG276)),IF(SUM($AE278:AZ278)&gt;=$AE276," ",AB9-(SUM($AE278:AZ278)/(SUM($AE276:$BG276))))))</f>
        <v xml:space="preserve"> </v>
      </c>
      <c r="BA279" s="44" t="str">
        <f ca="1">IF(BA9&gt;WEEKNUM(TODAY())," ", IF(AND(BA10="x",SUM($AE278:BA278)&gt;$AE276),AC9-(SUM($AE278:BA278)/SUM($AE276:$BG276)),IF(SUM($AE278:BA278)&gt;=$AE276," ",AC9-(SUM($AE278:BA278)/(SUM($AE276:$BG276))))))</f>
        <v xml:space="preserve"> </v>
      </c>
      <c r="BB279" s="44" t="str">
        <f ca="1">IF(BB9&gt;WEEKNUM(TODAY())," ", IF(AND(BB10="x",SUM($AE278:BB278)&gt;$AE276),AD9-(SUM($AE278:BB278)/SUM($AE276:$BG276)),IF(SUM($AE278:BB278)&gt;=$AE276," ",AD9-(SUM($AE278:BB278)/(SUM($AE276:$BG276))))))</f>
        <v xml:space="preserve"> </v>
      </c>
      <c r="BC279" s="44" t="str">
        <f ca="1">IF(BC9&gt;WEEKNUM(TODAY())," ", IF(AND(BC10="x",SUM($AE278:BC278)&gt;$AE276),AE9-(SUM($AE278:BC278)/SUM($AE276:$BG276)),IF(SUM($AE278:BC278)&gt;=$AE276," ",AE9-(SUM($AE278:BC278)/(SUM($AE276:$BG276))))))</f>
        <v xml:space="preserve"> </v>
      </c>
      <c r="BD279" s="44" t="str">
        <f ca="1">IF(BD9&gt;WEEKNUM(TODAY())," ", IF(AND(BD10="x",SUM($AE278:BD278)&gt;$AE276),AF9-(SUM($AE278:BD278)/SUM($AE276:$BG276)),IF(SUM($AE278:BD278)&gt;=$AE276," ",AF9-(SUM($AE278:BD278)/(SUM($AE276:$BG276))))))</f>
        <v xml:space="preserve"> </v>
      </c>
      <c r="BE279" s="44" t="str">
        <f ca="1">IF(BE9&gt;WEEKNUM(TODAY())," ", IF(AND(BE10="x",SUM($AE278:BE278)&gt;$AE276),AG9-(SUM($AE278:BE278)/SUM($AE276:$BG276)),IF(SUM($AE278:BE278)&gt;=$AE276," ",AG9-(SUM($AE278:BE278)/(SUM($AE276:$BG276))))))</f>
        <v xml:space="preserve"> </v>
      </c>
      <c r="BF279" s="44" t="str">
        <f ca="1">IF(BF9&gt;WEEKNUM(TODAY())," ", IF(AND(BF10="x",SUM($AE278:BF278)&gt;$AE276),AH9-(SUM($AE278:BF278)/SUM($AE276:$BG276)),IF(SUM($AE278:BF278)&gt;=$AE276," ",AH9-(SUM($AE278:BF278)/(SUM($AE276:$BG276))))))</f>
        <v xml:space="preserve"> </v>
      </c>
      <c r="BG279" s="44" t="str">
        <f ca="1">IF(BG9&gt;WEEKNUM(TODAY())," ", IF(AND(BG10="x",SUM($AE278:BG278)&gt;$AE276),AI9-(SUM($AE278:BG278)/SUM($AE276:$BG276)),IF(SUM($AE278:BG278)&gt;=$AE276," ",AI9-(SUM($AE278:BG278)/(SUM($AE276:$BG276))))))</f>
        <v xml:space="preserve"> </v>
      </c>
      <c r="BH279" s="21"/>
    </row>
    <row r="280" spans="2:60" ht="16.2" thickBot="1" x14ac:dyDescent="0.35">
      <c r="B280" s="70"/>
      <c r="C280" s="79"/>
      <c r="D280" s="84"/>
      <c r="E280" s="57"/>
      <c r="F280" s="117"/>
      <c r="H280" s="49" t="str">
        <f>IF(H276= " ", " ",IF(H278&gt;SUM($H276:$BG276), " N/A", IF(SUM($H278:$BG278)=SUM($H276:BG276), " ", IF(H278=SUM($H276:BG276), " ", "x"))))</f>
        <v xml:space="preserve"> </v>
      </c>
      <c r="I280" s="50" t="str">
        <f>IF(SUM($H278:I278) &gt; SUM($H276:I276),  " N/A", IF(SUM($H278:$BG278) = SUM($H276:$BH276),    " ",IF(I278 = SUM($H276:$BH276),  " ",   "x")))</f>
        <v xml:space="preserve"> </v>
      </c>
      <c r="J280" s="50" t="str">
        <f>IF(SUM($H278:J278) &gt; SUM($H276:J276),  " N/A", IF(SUM($H278:$BG278) = SUM($H276:$BH276),    " ",IF(J278 = SUM($H276:$BH276),  " ",   "x")))</f>
        <v xml:space="preserve"> </v>
      </c>
      <c r="K280" s="50" t="str">
        <f>IF(SUM($H278:K278) &gt; SUM($H276:K276),  " N/A", IF(SUM($H278:$BG278) = SUM($H276:$BH276),    " ",IF(K278 = SUM($H276:$BH276),  " ",   "x")))</f>
        <v xml:space="preserve"> </v>
      </c>
      <c r="L280" s="50" t="str">
        <f>IF(SUM($H278:L278) &gt; SUM($H276:L276),  " N/A", IF(SUM($H278:$BG278) = SUM($H276:$BH276),    " ",IF(L278 = SUM($H276:$BH276),  " ",   "x")))</f>
        <v xml:space="preserve"> </v>
      </c>
      <c r="M280" s="50" t="str">
        <f>IF(SUM($H278:M278) &gt; SUM($H276:M276),  " N/A", IF(SUM($H278:$BG278) = SUM($H276:$BH276),    " ",IF(M278 = SUM($H276:$BH276),  " ",   "x")))</f>
        <v xml:space="preserve"> </v>
      </c>
      <c r="N280" s="50" t="str">
        <f>IF(SUM($H278:N278) &gt; SUM($H276:N276),  " N/A", IF(SUM($H278:$BG278) = SUM($H276:$BH276),    " ",IF(N278 = SUM($H276:$BH276),  " ",   "x")))</f>
        <v xml:space="preserve"> </v>
      </c>
      <c r="O280" s="50" t="str">
        <f>IF(SUM($H278:O278) &gt; SUM($H276:O276),  " N/A", IF(SUM($H278:$BG278) = SUM($H276:$BH276),    " ",IF(O278 = SUM($H276:$BH276),  " ",   "x")))</f>
        <v xml:space="preserve"> </v>
      </c>
      <c r="P280" s="50" t="str">
        <f>IF(SUM($H278:P278) &gt; SUM($H276:P276),  " N/A", IF(SUM($H278:$BG278) = SUM($H276:$BH276),    " ",IF(P278 = SUM($H276:$BH276),  " ",   "x")))</f>
        <v xml:space="preserve"> </v>
      </c>
      <c r="Q280" s="50" t="str">
        <f>IF(SUM($H278:Q278) &gt; SUM($H276:Q276),  " N/A", IF(SUM($H278:$BG278) = SUM($H276:$BH276),    " ",IF(Q278 = SUM($H276:$BH276),  " ",   "x")))</f>
        <v xml:space="preserve"> </v>
      </c>
      <c r="R280" s="50" t="str">
        <f>IF(SUM($H278:R278) &gt; SUM($H276:R276),  " N/A", IF(SUM($H278:$BG278) = SUM($H276:$BH276),    " ",IF(R278 = SUM($H276:$BH276),  " ",   "x")))</f>
        <v xml:space="preserve"> </v>
      </c>
      <c r="S280" s="50" t="str">
        <f>IF(SUM($H278:S278) &gt; SUM($H276:S276),  " N/A", IF(SUM($H278:$BG278) = SUM($H276:$BH276),    " ",IF(S278 = SUM($H276:$BH276),  " ",   "x")))</f>
        <v xml:space="preserve"> </v>
      </c>
      <c r="T280" s="50" t="str">
        <f>IF(SUM($H278:T278) &gt; SUM($H276:T276),  " N/A", IF(SUM($H278:$BG278) = SUM($H276:$BH276),    " ",IF(T278 = SUM($H276:$BH276),  " ",   "x")))</f>
        <v xml:space="preserve"> </v>
      </c>
      <c r="U280" s="50" t="str">
        <f>IF(SUM($H278:U278) &gt; SUM($H276:U276),  " N/A", IF(SUM($H278:$BG278) = SUM($H276:$BH276),    " ",IF(U278 = SUM($H276:$BH276),  " ",   "x")))</f>
        <v xml:space="preserve"> </v>
      </c>
      <c r="V280" s="50" t="str">
        <f>IF(SUM($H278:V278) &gt; SUM($H276:V276),  " N/A", IF(SUM($H278:$BG278) = SUM($H276:$BH276),    " ",IF(V278 = SUM($H276:$BH276),  " ",   "x")))</f>
        <v xml:space="preserve"> </v>
      </c>
      <c r="W280" s="50" t="str">
        <f>IF(SUM($H278:W278) &gt; SUM($H276:W276),  " N/A", IF(SUM($H278:$BG278) = SUM($H276:$BH276),    " ",IF(W278 = SUM($H276:$BH276),  " ",   "x")))</f>
        <v xml:space="preserve"> </v>
      </c>
      <c r="X280" s="50" t="str">
        <f>IF(SUM($H278:X278) &gt; SUM($H276:X276),  " N/A", IF(SUM($H278:$BG278) = SUM($H276:$BH276),    " ",IF(X278 = SUM($H276:$BH276),  " ",   "x")))</f>
        <v xml:space="preserve"> </v>
      </c>
      <c r="Y280" s="50" t="str">
        <f>IF(SUM($H278:Y278) &gt; SUM($H276:Y276),  " N/A", IF(SUM($H278:$BG278) = SUM($H276:$BH276),    " ",IF(Y278 = SUM($H276:$BH276),  " ",   "x")))</f>
        <v xml:space="preserve"> </v>
      </c>
      <c r="Z280" s="50" t="str">
        <f>IF(SUM($H278:Z278) &gt; SUM($H276:Z276),  " N/A", IF(SUM($H278:$BG278) = SUM($H276:$BH276),    " ",IF(Z278 = SUM($H276:$BH276),  " ",   "x")))</f>
        <v xml:space="preserve"> </v>
      </c>
      <c r="AA280" s="50" t="str">
        <f>IF(SUM($H278:AA278) &gt; SUM($H276:AA276),  " N/A", IF(SUM($H278:$BG278) = SUM($H276:$BH276),    " ",IF(AA278 = SUM($H276:$BH276),  " ",   "x")))</f>
        <v xml:space="preserve"> </v>
      </c>
      <c r="AB280" s="50" t="str">
        <f>IF(SUM($H278:AB278) &gt; SUM($H276:AB276),  " N/A", IF(SUM($H278:$BG278) = SUM($H276:$BH276),    " ",IF(AB278 = SUM($H276:$BH276),  " ",   "x")))</f>
        <v xml:space="preserve"> </v>
      </c>
      <c r="AC280" s="50" t="str">
        <f>IF(SUM($H278:AC278) &gt; SUM($H276:AC276),  " N/A", IF(SUM($H278:$BG278) = SUM($H276:$BH276),    " ",IF(AC278 = SUM($H276:$BH276),  " ",   "x")))</f>
        <v xml:space="preserve"> </v>
      </c>
      <c r="AD280" s="50" t="str">
        <f>IF(SUM($H278:AD278) &gt; SUM($H276:AD276),  " N/A", IF(SUM($H278:$BG278) = SUM($H276:$BH276),    " ",IF(AD278 = SUM($H276:$BH276),  " ",   "x")))</f>
        <v xml:space="preserve"> </v>
      </c>
      <c r="AE280" s="50" t="str">
        <f>IF(SUM($H278:AE278) &gt; SUM($H276:AE276),  " N/A", IF(SUM($H278:$BG278) = SUM($H276:$BH276),    " ",IF(AE278 = SUM($H276:$BH276),  " ",   "x")))</f>
        <v xml:space="preserve"> </v>
      </c>
      <c r="AF280" s="50" t="str">
        <f>IF(SUM($H278:AF278) &gt; SUM($H276:AF276),  " N/A", IF(SUM($H278:$BG278) = SUM($H226:$BH226),    " ",IF(AF278 = SUM($H226:$BH226),  " ",   "x")))</f>
        <v xml:space="preserve"> </v>
      </c>
      <c r="AG280" s="50" t="str">
        <f>IF(SUM($H278:AG278) &gt; SUM($H276:AG276),  " N/A", IF(SUM($H278:$BG278) = SUM($H276:$BH276),    " ",IF(AG278 = SUM($H276:$BH276),  " ",   "x")))</f>
        <v xml:space="preserve"> </v>
      </c>
      <c r="AH280" s="50" t="str">
        <f>IF(SUM($H278:AH278) &gt; SUM($H276:AH276),  " N/A", IF(SUM($H278:$BG278) = SUM($H276:$BH276),    " ",IF(AH278 = SUM($H276:$BH276),  " ",   "x")))</f>
        <v xml:space="preserve"> </v>
      </c>
      <c r="AI280" s="50" t="str">
        <f>IF(SUM($H278:AI278) &gt; SUM($H276:AI276),  " N/A", IF(SUM($H278:$BG278) = SUM($H276:$BH276),    " ",IF(AI278 = SUM($H276:$BH276),  " ",   "x")))</f>
        <v xml:space="preserve"> </v>
      </c>
      <c r="AJ280" s="50" t="str">
        <f>IF(SUM($H278:AJ278) &gt; SUM($H276:AJ276),  " N/A", IF(SUM($H278:$BG278) = SUM($H276:$BH276),    " ",IF(AJ278 = SUM($H276:$BH276),  " ",   "x")))</f>
        <v xml:space="preserve"> </v>
      </c>
      <c r="AK280" s="50" t="str">
        <f>IF(SUM($H278:AK278) &gt; SUM($H276:AK276),  " N/A", IF(SUM($H278:$BG278) = SUM($H276:$BH276),    " ",IF(AK278 = SUM($H276:$BH276),  " ",   "x")))</f>
        <v xml:space="preserve"> </v>
      </c>
      <c r="AL280" s="50" t="str">
        <f>IF(SUM($H278:AL278) &gt; SUM($H276:AL276),  " N/A", IF(SUM($H278:$BG278) = SUM($H276:$BH276),    " ",IF(AL278 = SUM($H276:$BH276),  " ",   "x")))</f>
        <v xml:space="preserve"> </v>
      </c>
      <c r="AM280" s="50" t="str">
        <f>IF(SUM($H278:AM278) &gt; SUM($H276:AM276),  " N/A", IF(SUM($H278:$BG278) = SUM($H276:$BH276),    " ",IF(AM278 = SUM($H276:$BH276),  " ",   "x")))</f>
        <v xml:space="preserve"> </v>
      </c>
      <c r="AN280" s="50" t="str">
        <f>IF(SUM($H278:AN278) &gt; SUM($H276:AN276),  " N/A", IF(SUM($H278:$BG278) = SUM($H276:$BH276),    " ",IF(AN278 = SUM($H276:$BH276),  " ",   "x")))</f>
        <v xml:space="preserve"> </v>
      </c>
      <c r="AO280" s="50" t="str">
        <f>IF(SUM($H278:AO278) &gt; SUM($H276:AO276),  " N/A", IF(SUM($H278:$BG278) = SUM($H276:$BH276),    " ",IF(AO278 = SUM($H276:$BH276),  " ",   "x")))</f>
        <v xml:space="preserve"> </v>
      </c>
      <c r="AP280" s="50" t="str">
        <f>IF(SUM($H278:AP278) &gt; SUM($H276:AP276),  " N/A", IF(SUM($H278:$BG278) = SUM($H276:$BH276),    " ",IF(AP278 = SUM($H276:$BH276),  " ",   "x")))</f>
        <v xml:space="preserve"> </v>
      </c>
      <c r="AQ280" s="50" t="str">
        <f>IF(SUM($H278:AQ278) &gt; SUM($H276:AQ276),  " N/A", IF(SUM($H278:$BG278) = SUM($H276:$BH276),    " ",IF(AQ278 = SUM($H276:$BH276),  " ",   "x")))</f>
        <v xml:space="preserve"> </v>
      </c>
      <c r="AR280" s="50" t="str">
        <f>IF(SUM($H278:AR278) &gt; SUM($H276:AR276),  " N/A", IF(SUM($H278:$BG278) = SUM($H276:$BH276),    " ",IF(AR278 = SUM($H276:$BH276),  " ",   "x")))</f>
        <v xml:space="preserve"> </v>
      </c>
      <c r="AS280" s="50" t="str">
        <f>IF(SUM($H278:AS278) &gt; SUM($H276:AS276),  " N/A", IF(SUM($H278:$BG278) = SUM($H276:$BH276),    " ",IF(AS278 = SUM($H276:$BH276),  " ",   "x")))</f>
        <v xml:space="preserve"> </v>
      </c>
      <c r="AT280" s="50" t="str">
        <f>IF(SUM($H278:AT278) &gt; SUM($H276:AT276),  " N/A", IF(SUM($H278:$BG278) = SUM($H276:$BH276),    " ",IF(AT278 = SUM($H276:$BH276),  " ",   "x")))</f>
        <v xml:space="preserve"> </v>
      </c>
      <c r="AU280" s="50" t="str">
        <f>IF(SUM($H278:AU278) &gt; SUM($H276:AU276),  " N/A", IF(SUM($H278:$BG278) = SUM($H276:$BH276),    " ",IF(AU278 = SUM($H276:$BH276),  " ",   "x")))</f>
        <v xml:space="preserve"> </v>
      </c>
      <c r="AV280" s="50" t="str">
        <f>IF(SUM($H278:AV278) &gt; SUM($H276:AV276),  " N/A", IF(SUM($H278:$BG278) = SUM($H276:$BH276),    " ",IF(AV278 = SUM($H276:$BH276),  " ",   "x")))</f>
        <v xml:space="preserve"> </v>
      </c>
      <c r="AW280" s="50" t="str">
        <f>IF(SUM($H278:AW278) &gt; SUM($H276:AW276),  " N/A", IF(SUM($H278:$BG278) = SUM($H276:$BH276),    " ",IF(AW278 = SUM($H276:$BH276),  " ",   "x")))</f>
        <v xml:space="preserve"> </v>
      </c>
      <c r="AX280" s="50" t="str">
        <f>IF(SUM($H278:AX278) &gt; SUM($H276:AX276),  " N/A", IF(SUM($H278:$BG278) = SUM($H276:$BH276),    " ",IF(AX278 = SUM($H276:$BH276),  " ",   "x")))</f>
        <v xml:space="preserve"> </v>
      </c>
      <c r="AY280" s="50" t="str">
        <f>IF(SUM($H278:AY278) &gt; SUM($H276:AY276),  " N/A", IF(SUM($H278:$BG278) = SUM($H276:$BH276),    " ",IF(AY278 = SUM($H276:$BH276),  " ",   "x")))</f>
        <v xml:space="preserve"> </v>
      </c>
      <c r="AZ280" s="50" t="str">
        <f>IF(SUM($H278:AZ278) &gt; SUM($H276:AZ276),  " N/A", IF(SUM($H278:$BG278) = SUM($H276:$BH276),    " ",IF(AZ278 = SUM($H276:$BH276),  " ",   "x")))</f>
        <v xml:space="preserve"> </v>
      </c>
      <c r="BA280" s="50" t="str">
        <f>IF(SUM($H278:BA278) &gt; SUM($H276:BA276),  " N/A", IF(SUM($H278:$BG278) = SUM($H276:$BH276),    " ",IF(BA278 = SUM($H276:$BH276),  " ",   "x")))</f>
        <v xml:space="preserve"> </v>
      </c>
      <c r="BB280" s="50" t="str">
        <f>IF(SUM($H278:BB278) &gt; SUM($H276:BB276),  " N/A", IF(SUM($H278:$BG278) = SUM($H276:$BH276),    " ",IF(BB278 = SUM($H276:$BH276),  " ",   "x")))</f>
        <v xml:space="preserve"> </v>
      </c>
      <c r="BC280" s="50" t="str">
        <f>IF(SUM($H278:BC278) &gt; SUM($H276:BC276),  " N/A", IF(SUM($H278:$BG278) = SUM($H276:$BH276),    " ",IF(BC278 = SUM($H276:$BH276),  " ",   "x")))</f>
        <v xml:space="preserve"> </v>
      </c>
      <c r="BD280" s="50" t="str">
        <f>IF(SUM($H278:BD278) &gt; SUM($H276:BD276),  " N/A", IF(SUM($H278:$BG278) = SUM($H276:$BH276),    " ",IF(BD278 = SUM($H276:$BH276),  " ",   "x")))</f>
        <v xml:space="preserve"> </v>
      </c>
      <c r="BE280" s="50" t="str">
        <f>IF(SUM($H278:BE278) &gt; SUM($H276:BE276),  " N/A", IF(SUM($H278:$BG278) = SUM($H276:$BH276),    " ",IF(BE278 = SUM($H276:$BH276),  " ",   "x")))</f>
        <v xml:space="preserve"> </v>
      </c>
      <c r="BF280" s="50" t="str">
        <f>IF(SUM($H278:BF278) &gt; SUM($H276:BF276),  " N/A", IF(SUM($H278:$BG278) = SUM($H276:$BH276),    " ",IF(BF278 = SUM($H276:$BH276),  " ",   "x")))</f>
        <v xml:space="preserve"> </v>
      </c>
      <c r="BG280" s="50" t="str">
        <f>IF(SUM($H278:BG278) &gt; SUM($H276:BG276),  " N/A", IF(SUM($H278:$BG278) = SUM($H276:$BH276),    " ",IF(BG278 = SUM($H276:$BH276),  " ",   "x")))</f>
        <v xml:space="preserve"> </v>
      </c>
      <c r="BH280" s="21"/>
    </row>
    <row r="281" spans="2:60" ht="15.6" x14ac:dyDescent="0.3">
      <c r="B281" s="71"/>
      <c r="C281" s="77"/>
      <c r="D281" s="82" t="s">
        <v>249</v>
      </c>
      <c r="E281" s="54">
        <f>SUM(H281:BG281)</f>
        <v>24</v>
      </c>
      <c r="F281" s="115">
        <f>Gant_24!$E281-E283</f>
        <v>8</v>
      </c>
      <c r="H281" s="41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>
        <v>24</v>
      </c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42"/>
      <c r="BB281" s="42"/>
      <c r="BC281" s="42"/>
      <c r="BD281" s="42"/>
      <c r="BE281" s="42"/>
      <c r="BF281" s="42"/>
      <c r="BG281" s="42"/>
      <c r="BH281" s="21"/>
    </row>
    <row r="282" spans="2:60" ht="15.6" x14ac:dyDescent="0.3">
      <c r="B282" s="68"/>
      <c r="C282" s="78"/>
      <c r="D282" s="83" t="s">
        <v>261</v>
      </c>
      <c r="E282" s="55">
        <f>SUM(H282:BG282)</f>
        <v>24</v>
      </c>
      <c r="F282" s="116"/>
      <c r="H282" s="43"/>
      <c r="I282" s="44"/>
      <c r="J282" s="44"/>
      <c r="K282" s="44"/>
      <c r="L282" s="44"/>
      <c r="M282" s="44"/>
      <c r="N282" s="44"/>
      <c r="O282" s="44"/>
      <c r="P282" s="44"/>
      <c r="Q282" s="44"/>
      <c r="R282" s="44"/>
      <c r="S282" s="44"/>
      <c r="T282" s="44"/>
      <c r="U282" s="44"/>
      <c r="V282" s="44"/>
      <c r="W282" s="44"/>
      <c r="X282" s="44"/>
      <c r="Y282" s="44"/>
      <c r="Z282" s="44"/>
      <c r="AA282" s="44"/>
      <c r="AB282" s="44"/>
      <c r="AC282" s="44"/>
      <c r="AD282" s="44"/>
      <c r="AE282" s="44"/>
      <c r="AF282" s="44"/>
      <c r="AG282" s="44">
        <v>8</v>
      </c>
      <c r="AH282" s="44">
        <v>8</v>
      </c>
      <c r="AI282" s="44">
        <v>8</v>
      </c>
      <c r="AJ282" s="44"/>
      <c r="AK282" s="44"/>
      <c r="AL282" s="44"/>
      <c r="AM282" s="44"/>
      <c r="AN282" s="44"/>
      <c r="AO282" s="44"/>
      <c r="AP282" s="44"/>
      <c r="AQ282" s="44"/>
      <c r="AR282" s="44"/>
      <c r="AS282" s="44"/>
      <c r="AT282" s="44"/>
      <c r="AU282" s="44"/>
      <c r="AV282" s="44"/>
      <c r="AW282" s="44"/>
      <c r="AX282" s="44"/>
      <c r="AY282" s="44"/>
      <c r="AZ282" s="44"/>
      <c r="BA282" s="44"/>
      <c r="BB282" s="44"/>
      <c r="BC282" s="44"/>
      <c r="BD282" s="44"/>
      <c r="BE282" s="44"/>
      <c r="BF282" s="44"/>
      <c r="BG282" s="44"/>
      <c r="BH282" s="21"/>
    </row>
    <row r="283" spans="2:60" ht="15.6" x14ac:dyDescent="0.3">
      <c r="B283" s="68" t="s">
        <v>223</v>
      </c>
      <c r="C283" s="78" t="s">
        <v>224</v>
      </c>
      <c r="D283" s="83" t="s">
        <v>241</v>
      </c>
      <c r="E283" s="55">
        <f>SUM(H283:BG283)</f>
        <v>16</v>
      </c>
      <c r="F283" s="116"/>
      <c r="H283" s="45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  <c r="AG283" s="46"/>
      <c r="AH283" s="46"/>
      <c r="AI283" s="46">
        <v>16</v>
      </c>
      <c r="AJ283" s="46"/>
      <c r="AK283" s="46"/>
      <c r="AL283" s="46"/>
      <c r="AM283" s="46"/>
      <c r="AN283" s="46"/>
      <c r="AO283" s="46"/>
      <c r="AP283" s="46"/>
      <c r="AQ283" s="46"/>
      <c r="AR283" s="46"/>
      <c r="AS283" s="46"/>
      <c r="AT283" s="46"/>
      <c r="AU283" s="46"/>
      <c r="AV283" s="46"/>
      <c r="AW283" s="46"/>
      <c r="AX283" s="46"/>
      <c r="AY283" s="46"/>
      <c r="AZ283" s="46"/>
      <c r="BA283" s="46"/>
      <c r="BB283" s="46"/>
      <c r="BC283" s="46"/>
      <c r="BD283" s="46"/>
      <c r="BE283" s="46"/>
      <c r="BF283" s="46"/>
      <c r="BG283" s="46"/>
      <c r="BH283" s="21"/>
    </row>
    <row r="284" spans="2:60" ht="15.6" x14ac:dyDescent="0.3">
      <c r="B284" s="68"/>
      <c r="C284" s="78"/>
      <c r="D284" s="83" t="s">
        <v>278</v>
      </c>
      <c r="E284" s="56">
        <f ca="1">MAX(H284:BG284)</f>
        <v>0</v>
      </c>
      <c r="F284" s="116"/>
      <c r="H284" s="47"/>
      <c r="I284" s="48"/>
      <c r="J284" s="48"/>
      <c r="K284" s="48"/>
      <c r="L284" s="44"/>
      <c r="M284" s="44"/>
      <c r="N284" s="44"/>
      <c r="O284" s="44"/>
      <c r="P284" s="44"/>
      <c r="Q284" s="44"/>
      <c r="R284" s="44"/>
      <c r="S284" s="44"/>
      <c r="T284" s="44"/>
      <c r="U284" s="44"/>
      <c r="V284" s="44"/>
      <c r="W284" s="44"/>
      <c r="X284" s="44"/>
      <c r="Y284" s="44"/>
      <c r="Z284" s="44"/>
      <c r="AA284" s="44"/>
      <c r="AB284" s="44"/>
      <c r="AC284" s="44"/>
      <c r="AD284" s="44" t="str">
        <f>IF(SUM(H281:BG281) = AD283, " 0 ", " ")</f>
        <v xml:space="preserve"> </v>
      </c>
      <c r="AE284" s="44" t="str">
        <f ca="1">IF(AE9&gt;WEEKNUM(TODAY())," ", IF(AND(AE10="x",SUM($AD283:AE283)&gt;$AD281),H9-(SUM($AD283:AE283)/SUM($AD281:$BG281)),IF(SUM($AD283:AE283)&gt;=$AD281," ",H9-(SUM($AD283:AE283)/(SUM($AD281:$BG281))))))</f>
        <v xml:space="preserve"> </v>
      </c>
      <c r="AF284" s="44" t="str">
        <f ca="1">IF(AF9&gt;WEEKNUM(TODAY())," ", IF(AND(AF10="x",SUM($AD283:AF283)&gt;$AD281),I9-(SUM($AD283:AF283)/SUM($AD281:$BG281)),IF(SUM($AD283:AF283)&gt;=$AD281," ",I9-(SUM($AD283:AF283)/(SUM($AD281:$BG281))))))</f>
        <v xml:space="preserve"> </v>
      </c>
      <c r="AG284" s="44" t="str">
        <f ca="1">IF(AG9&gt;WEEKNUM(TODAY())," ", IF(AND(AG10="x",SUM($AD283:AG283)&gt;$AD281),J9-(SUM($AD283:AG283)/SUM($AD281:$BG281)),IF(SUM($AD283:AG283)&gt;=$AD281," ",J9-(SUM($AD283:AG283)/(SUM($AD281:$BG281))))))</f>
        <v xml:space="preserve"> </v>
      </c>
      <c r="AH284" s="44" t="str">
        <f ca="1">IF(AH9&gt;WEEKNUM(TODAY())," ", IF(AND(AH10="x",SUM($AD283:AH283)&gt;$AD281),K9-(SUM($AD283:AH283)/SUM($AD281:$BG281)),IF(SUM($AD283:AH283)&gt;=$AD281," ",K9-(SUM($AD283:AH283)/(SUM($AD281:$BG281))))))</f>
        <v xml:space="preserve"> </v>
      </c>
      <c r="AI284" s="44" t="str">
        <f ca="1">IF(AI9&gt;WEEKNUM(TODAY())," ", IF(AND(AI10="x",SUM($AD283:AI283)&gt;$AD281),L9-(SUM($AD283:AI283)/SUM($AD281:$BG281)),IF(SUM($AD283:AI283)&gt;=$AD281," ",L9-(SUM($AD283:AI283)/(SUM($AD281:$BG281))))))</f>
        <v xml:space="preserve"> </v>
      </c>
      <c r="AJ284" s="44" t="str">
        <f ca="1">IF(AJ9&gt;WEEKNUM(TODAY())," ", IF(AND(AJ10="x",SUM($AD283:AJ283)&gt;$AD281),M9-(SUM($AD283:AJ283)/SUM($AD281:$BG281)),IF(SUM($AD283:AJ283)&gt;=$AD281," ",M9-(SUM($AD283:AJ283)/(SUM($AD281:$BG281))))))</f>
        <v xml:space="preserve"> </v>
      </c>
      <c r="AK284" s="44" t="str">
        <f ca="1">IF(AK9&gt;WEEKNUM(TODAY())," ", IF(AND(AK10="x",SUM($AD283:AK283)&gt;$AD281),N9-(SUM($AD283:AK283)/SUM($AD281:$BG281)),IF(SUM($AD283:AK283)&gt;=$AD281," ",N9-(SUM($AD283:AK283)/(SUM($AD281:$BG281))))))</f>
        <v xml:space="preserve"> </v>
      </c>
      <c r="AL284" s="44" t="str">
        <f ca="1">IF(AL9&gt;WEEKNUM(TODAY())," ", IF(AND(AL10="x",SUM($AD283:AL283)&gt;$AD281),O9-(SUM($AD283:AL283)/SUM($AD281:$BG281)),IF(SUM($AD283:AL283)&gt;=$AD281," ",O9-(SUM($AD283:AL283)/(SUM($AD281:$BG281))))))</f>
        <v xml:space="preserve"> </v>
      </c>
      <c r="AM284" s="44" t="str">
        <f ca="1">IF(AM9&gt;WEEKNUM(TODAY())," ", IF(AND(AM10="x",SUM($AD283:AM283)&gt;$AD281),P9-(SUM($AD283:AM283)/SUM($AD281:$BG281)),IF(SUM($AD283:AM283)&gt;=$AD281," ",P9-(SUM($AD283:AM283)/(SUM($AD281:$BG281))))))</f>
        <v xml:space="preserve"> </v>
      </c>
      <c r="AN284" s="44" t="str">
        <f ca="1">IF(AN9&gt;WEEKNUM(TODAY())," ", IF(AND(AN10="x",SUM($AD283:AN283)&gt;$AD281),Q9-(SUM($AD283:AN283)/SUM($AD281:$BG281)),IF(SUM($AD283:AN283)&gt;=$AD281," ",Q9-(SUM($AD283:AN283)/(SUM($AD281:$BG281))))))</f>
        <v xml:space="preserve"> </v>
      </c>
      <c r="AO284" s="44" t="str">
        <f ca="1">IF(AO9&gt;WEEKNUM(TODAY())," ", IF(AND(AO10="x",SUM($AD283:AO283)&gt;$AD281),R9-(SUM($AD283:AO283)/SUM($AD281:$BG281)),IF(SUM($AD283:AO283)&gt;=$AD281," ",R9-(SUM($AD283:AO283)/(SUM($AD281:$BG281))))))</f>
        <v xml:space="preserve"> </v>
      </c>
      <c r="AP284" s="44" t="str">
        <f ca="1">IF(AP9&gt;WEEKNUM(TODAY())," ", IF(AND(AP10="x",SUM($AD283:AP283)&gt;$AD281),S9-(SUM($AD283:AP283)/SUM($AD281:$BG281)),IF(SUM($AD283:AP283)&gt;=$AD281," ",S9-(SUM($AD283:AP283)/(SUM($AD281:$BG281))))))</f>
        <v xml:space="preserve"> </v>
      </c>
      <c r="AQ284" s="44" t="str">
        <f ca="1">IF(AQ9&gt;WEEKNUM(TODAY())," ", IF(AND(AQ10="x",SUM($AD283:AQ283)&gt;$AD281),T9-(SUM($AD283:AQ283)/SUM($AD281:$BG281)),IF(SUM($AD283:AQ283)&gt;=$AD281," ",T9-(SUM($AD283:AQ283)/(SUM($AD281:$BG281))))))</f>
        <v xml:space="preserve"> </v>
      </c>
      <c r="AR284" s="44" t="str">
        <f ca="1">IF(AR9&gt;WEEKNUM(TODAY())," ", IF(AND(AR10="x",SUM($AD283:AR283)&gt;$AD281),U9-(SUM($AD283:AR283)/SUM($AD281:$BG281)),IF(SUM($AD283:AR283)&gt;=$AD281," ",U9-(SUM($AD283:AR283)/(SUM($AD281:$BG281))))))</f>
        <v xml:space="preserve"> </v>
      </c>
      <c r="AS284" s="44" t="str">
        <f ca="1">IF(AS9&gt;WEEKNUM(TODAY())," ", IF(AND(AS10="x",SUM($AD283:AS283)&gt;$AD281),V9-(SUM($AD283:AS283)/SUM($AD281:$BG281)),IF(SUM($AD283:AS283)&gt;=$AD281," ",V9-(SUM($AD283:AS283)/(SUM($AD281:$BG281))))))</f>
        <v xml:space="preserve"> </v>
      </c>
      <c r="AT284" s="44" t="str">
        <f ca="1">IF(AT9&gt;WEEKNUM(TODAY())," ", IF(AND(AT10="x",SUM($AD283:AT283)&gt;$AD281),W9-(SUM($AD283:AT283)/SUM($AD281:$BG281)),IF(SUM($AD283:AT283)&gt;=$AD281," ",W9-(SUM($AD283:AT283)/(SUM($AD281:$BG281))))))</f>
        <v xml:space="preserve"> </v>
      </c>
      <c r="AU284" s="44" t="str">
        <f ca="1">IF(AU9&gt;WEEKNUM(TODAY())," ", IF(AND(AU10="x",SUM($AD283:AU283)&gt;$AD281),X9-(SUM($AD283:AU283)/SUM($AD281:$BG281)),IF(SUM($AD283:AU283)&gt;=$AD281," ",X9-(SUM($AD283:AU283)/(SUM($AD281:$BG281))))))</f>
        <v xml:space="preserve"> </v>
      </c>
      <c r="AV284" s="44" t="str">
        <f ca="1">IF(AV9&gt;WEEKNUM(TODAY())," ", IF(AND(AV10="x",SUM($AD283:AV283)&gt;$AD281),Y9-(SUM($AD283:AV283)/SUM($AD281:$BG281)),IF(SUM($AD283:AV283)&gt;=$AD281," ",Y9-(SUM($AD283:AV283)/(SUM($AD281:$BG281))))))</f>
        <v xml:space="preserve"> </v>
      </c>
      <c r="AW284" s="44" t="str">
        <f ca="1">IF(AW9&gt;WEEKNUM(TODAY())," ", IF(AND(AW10="x",SUM($AD283:AW283)&gt;$AD281),Z9-(SUM($AD283:AW283)/SUM($AD281:$BG281)),IF(SUM($AD283:AW283)&gt;=$AD281," ",Z9-(SUM($AD283:AW283)/(SUM($AD281:$BG281))))))</f>
        <v xml:space="preserve"> </v>
      </c>
      <c r="AX284" s="44" t="str">
        <f ca="1">IF(AX9&gt;WEEKNUM(TODAY())," ", IF(AND(AX10="x",SUM($AD283:AX283)&gt;$AD281),AA9-(SUM($AD283:AX283)/SUM($AD281:$BG281)),IF(SUM($AD283:AX283)&gt;=$AD281," ",AA9-(SUM($AD283:AX283)/(SUM($AD281:$BG281))))))</f>
        <v xml:space="preserve"> </v>
      </c>
      <c r="AY284" s="44" t="str">
        <f ca="1">IF(AY9&gt;WEEKNUM(TODAY())," ", IF(AND(AY10="x",SUM($AD283:AY283)&gt;$AD281),AB9-(SUM($AD283:AY283)/SUM($AD281:$BG281)),IF(SUM($AD283:AY283)&gt;=$AD281," ",AB9-(SUM($AD283:AY283)/(SUM($AD281:$BG281))))))</f>
        <v xml:space="preserve"> </v>
      </c>
      <c r="AZ284" s="44" t="str">
        <f ca="1">IF(AZ9&gt;WEEKNUM(TODAY())," ", IF(AND(AZ10="x",SUM($AD283:AZ283)&gt;$AD281),AC9-(SUM($AD283:AZ283)/SUM($AD281:$BG281)),IF(SUM($AD283:AZ283)&gt;=$AD281," ",AC9-(SUM($AD283:AZ283)/(SUM($AD281:$BG281))))))</f>
        <v xml:space="preserve"> </v>
      </c>
      <c r="BA284" s="44" t="str">
        <f ca="1">IF(BA9&gt;WEEKNUM(TODAY())," ", IF(AND(BA10="x",SUM($AD283:BA283)&gt;$AD281),AD9-(SUM($AD283:BA283)/SUM($AD281:$BG281)),IF(SUM($AD283:BA283)&gt;=$AD281," ",AD9-(SUM($AD283:BA283)/(SUM($AD281:$BG281))))))</f>
        <v xml:space="preserve"> </v>
      </c>
      <c r="BB284" s="44" t="str">
        <f ca="1">IF(BB9&gt;WEEKNUM(TODAY())," ", IF(AND(BB10="x",SUM($AD283:BB283)&gt;$AD281),AE9-(SUM($AD283:BB283)/SUM($AD281:$BG281)),IF(SUM($AD283:BB283)&gt;=$AD281," ",AE9-(SUM($AD283:BB283)/(SUM($AD281:$BG281))))))</f>
        <v xml:space="preserve"> </v>
      </c>
      <c r="BC284" s="44" t="str">
        <f ca="1">IF(BC9&gt;WEEKNUM(TODAY())," ", IF(AND(BC10="x",SUM($AD283:BC283)&gt;$AD281),AF9-(SUM($AD283:BC283)/SUM($AD281:$BG281)),IF(SUM($AD283:BC283)&gt;=$AD281," ",AF9-(SUM($AD283:BC283)/(SUM($AD281:$BG281))))))</f>
        <v xml:space="preserve"> </v>
      </c>
      <c r="BD284" s="44" t="str">
        <f ca="1">IF(BD9&gt;WEEKNUM(TODAY())," ", IF(AND(BD10="x",SUM($AD283:BD283)&gt;$AD281),AG9-(SUM($AD283:BD283)/SUM($AD281:$BG281)),IF(SUM($AD283:BD283)&gt;=$AD281," ",AG9-(SUM($AD283:BD283)/(SUM($AD281:$BG281))))))</f>
        <v xml:space="preserve"> </v>
      </c>
      <c r="BE284" s="44" t="str">
        <f ca="1">IF(BE9&gt;WEEKNUM(TODAY())," ", IF(AND(BE10="x",SUM($AD283:BE283)&gt;$AD281),AH9-(SUM($AD283:BE283)/SUM($AD281:$BG281)),IF(SUM($AD283:BE283)&gt;=$AD281," ",AH9-(SUM($AD283:BE283)/(SUM($AD281:$BG281))))))</f>
        <v xml:space="preserve"> </v>
      </c>
      <c r="BF284" s="44" t="str">
        <f ca="1">IF(BF9&gt;WEEKNUM(TODAY())," ", IF(AND(BF10="x",SUM($AD283:BF283)&gt;$AD281),AI9-(SUM($AD283:BF283)/SUM($AD281:$BG281)),IF(SUM($AD283:BF283)&gt;=$AD281," ",AI9-(SUM($AD283:BF283)/(SUM($AD281:$BG281))))))</f>
        <v xml:space="preserve"> </v>
      </c>
      <c r="BG284" s="44" t="str">
        <f ca="1">IF(BG9&gt;WEEKNUM(TODAY())," ", IF(AND(BG10="x",SUM($AD283:BG283)&gt;$AD281),AJ9-(SUM($AD283:BG283)/SUM($AD281:$BG281)),IF(SUM($AD283:BG283)&gt;=$AD281," ",AJ9-(SUM($AD283:BG283)/(SUM($AD281:$BG281))))))</f>
        <v xml:space="preserve"> </v>
      </c>
      <c r="BH284" s="21"/>
    </row>
    <row r="285" spans="2:60" ht="16.2" thickBot="1" x14ac:dyDescent="0.35">
      <c r="B285" s="70"/>
      <c r="C285" s="79"/>
      <c r="D285" s="84"/>
      <c r="E285" s="57"/>
      <c r="F285" s="117"/>
      <c r="H285" s="49" t="str">
        <f>IF(H281= " ", " ",IF(H283&gt;SUM($H281:$BG281), " N/A", IF(SUM($H283:$BG283)=SUM($H281:BG281), " ", IF(H283=SUM($H281:BG281), " ", "x"))))</f>
        <v>x</v>
      </c>
      <c r="I285" s="50" t="str">
        <f>IF(SUM($H283:I283) &gt; SUM($H281:I281),  " N/A", IF(SUM($H283:$BG283) = SUM($H281:$BH281),    " ",IF(I283 = SUM($H281:$BH281),  " ",   "x")))</f>
        <v>x</v>
      </c>
      <c r="J285" s="50" t="str">
        <f>IF(SUM($H283:J283) &gt; SUM($H281:J281),  " N/A", IF(SUM($H283:$BG283) = SUM($H281:$BH281),    " ",IF(J283 = SUM($H281:$BH281),  " ",   "x")))</f>
        <v>x</v>
      </c>
      <c r="K285" s="50" t="str">
        <f>IF(SUM($H283:K283) &gt; SUM($H281:K281),  " N/A", IF(SUM($H283:$BG283) = SUM($H281:$BH281),    " ",IF(K283 = SUM($H281:$BH281),  " ",   "x")))</f>
        <v>x</v>
      </c>
      <c r="L285" s="50" t="str">
        <f>IF(SUM($H283:L283) &gt; SUM($H281:L281),  " N/A", IF(SUM($H283:$BG283) = SUM($H281:$BH281),    " ",IF(L283 = SUM($H281:$BH281),  " ",   "x")))</f>
        <v>x</v>
      </c>
      <c r="M285" s="50" t="str">
        <f>IF(SUM($H283:M283) &gt; SUM($H281:M281),  " N/A", IF(SUM($H283:$BG283) = SUM($H281:$BH281),    " ",IF(M283 = SUM($H281:$BH281),  " ",   "x")))</f>
        <v>x</v>
      </c>
      <c r="N285" s="50" t="str">
        <f>IF(SUM($H283:N283) &gt; SUM($H281:N281),  " N/A", IF(SUM($H283:$BG283) = SUM($H281:$BH281),    " ",IF(N283 = SUM($H281:$BH281),  " ",   "x")))</f>
        <v>x</v>
      </c>
      <c r="O285" s="50" t="str">
        <f>IF(SUM($H283:O283) &gt; SUM($H281:O281),  " N/A", IF(SUM($H283:$BG283) = SUM($H281:$BH281),    " ",IF(O283 = SUM($H281:$BH281),  " ",   "x")))</f>
        <v>x</v>
      </c>
      <c r="P285" s="50" t="str">
        <f>IF(SUM($H283:P283) &gt; SUM($H281:P281),  " N/A", IF(SUM($H283:$BG283) = SUM($H281:$BH281),    " ",IF(P283 = SUM($H281:$BH281),  " ",   "x")))</f>
        <v>x</v>
      </c>
      <c r="Q285" s="50" t="str">
        <f>IF(SUM($H283:Q283) &gt; SUM($H281:Q281),  " N/A", IF(SUM($H283:$BG283) = SUM($H281:$BH281),    " ",IF(Q283 = SUM($H281:$BH281),  " ",   "x")))</f>
        <v>x</v>
      </c>
      <c r="R285" s="50" t="str">
        <f>IF(SUM($H283:R283) &gt; SUM($H281:R281),  " N/A", IF(SUM($H283:$BG283) = SUM($H281:$BH281),    " ",IF(R283 = SUM($H281:$BH281),  " ",   "x")))</f>
        <v>x</v>
      </c>
      <c r="S285" s="50" t="str">
        <f>IF(SUM($H283:S283) &gt; SUM($H281:S281),  " N/A", IF(SUM($H283:$BG283) = SUM($H281:$BH281),    " ",IF(S283 = SUM($H281:$BH281),  " ",   "x")))</f>
        <v>x</v>
      </c>
      <c r="T285" s="50" t="str">
        <f>IF(SUM($H283:T283) &gt; SUM($H281:T281),  " N/A", IF(SUM($H283:$BG283) = SUM($H281:$BH281),    " ",IF(T283 = SUM($H281:$BH281),  " ",   "x")))</f>
        <v>x</v>
      </c>
      <c r="U285" s="50" t="str">
        <f>IF(SUM($H283:U283) &gt; SUM($H281:U281),  " N/A", IF(SUM($H283:$BG283) = SUM($H281:$BH281),    " ",IF(U283 = SUM($H281:$BH281),  " ",   "x")))</f>
        <v>x</v>
      </c>
      <c r="V285" s="50" t="str">
        <f>IF(SUM($H283:V283) &gt; SUM($H281:V281),  " N/A", IF(SUM($H283:$BG283) = SUM($H281:$BH281),    " ",IF(V283 = SUM($H281:$BH281),  " ",   "x")))</f>
        <v>x</v>
      </c>
      <c r="W285" s="50" t="str">
        <f>IF(SUM($H283:W283) &gt; SUM($H281:W281),  " N/A", IF(SUM($H283:$BG283) = SUM($H281:$BH281),    " ",IF(W283 = SUM($H281:$BH281),  " ",   "x")))</f>
        <v>x</v>
      </c>
      <c r="X285" s="50" t="str">
        <f>IF(SUM($H283:X283) &gt; SUM($H281:X281),  " N/A", IF(SUM($H283:$BG283) = SUM($H281:$BH281),    " ",IF(X283 = SUM($H281:$BH281),  " ",   "x")))</f>
        <v>x</v>
      </c>
      <c r="Y285" s="50" t="str">
        <f>IF(SUM($H283:Y283) &gt; SUM($H281:Y281),  " N/A", IF(SUM($H283:$BG283) = SUM($H281:$BH281),    " ",IF(Y283 = SUM($H281:$BH281),  " ",   "x")))</f>
        <v>x</v>
      </c>
      <c r="Z285" s="50" t="str">
        <f>IF(SUM($H283:Z283) &gt; SUM($H281:Z281),  " N/A", IF(SUM($H283:$BG283) = SUM($H281:$BH281),    " ",IF(Z283 = SUM($H281:$BH281),  " ",   "x")))</f>
        <v>x</v>
      </c>
      <c r="AA285" s="50" t="str">
        <f>IF(SUM($H283:AA283) &gt; SUM($H281:AA281),  " N/A", IF(SUM($H283:$BG283) = SUM($H281:$BH281),    " ",IF(AA283 = SUM($H281:$BH281),  " ",   "x")))</f>
        <v>x</v>
      </c>
      <c r="AB285" s="50" t="str">
        <f>IF(SUM($H283:AB283) &gt; SUM($H281:AB281),  " N/A", IF(SUM($H283:$BG283) = SUM($H281:$BH281),    " ",IF(AB283 = SUM($H281:$BH281),  " ",   "x")))</f>
        <v>x</v>
      </c>
      <c r="AC285" s="50" t="str">
        <f>IF(SUM($H283:AC283) &gt; SUM($H281:AC281),  " N/A", IF(SUM($H283:$BG283) = SUM($H281:$BH281),    " ",IF(AC283 = SUM($H281:$BH281),  " ",   "x")))</f>
        <v>x</v>
      </c>
      <c r="AD285" s="50" t="str">
        <f>IF(SUM($H283:AD283) &gt; SUM($H281:AD281),  " N/A", IF(SUM($H283:$BG283) = SUM($H281:$BH281),    " ",IF(AD283 = SUM($H281:$BH281),  " ",   "x")))</f>
        <v>x</v>
      </c>
      <c r="AE285" s="50" t="str">
        <f>IF(SUM($H283:AE283) &gt; SUM($H281:AE281),  " N/A", IF(SUM($H283:$BG283) = SUM($H281:$BH281),    " ",IF(AE283 = SUM($H281:$BH281),  " ",   "x")))</f>
        <v>x</v>
      </c>
      <c r="AF285" s="50" t="str">
        <f>IF(SUM($H283:AF283) &gt; SUM($H281:AF281),  " N/A", IF(SUM($H283:$BG283) = SUM($H281:$BH281),    " ",IF(AF283 = SUM($H281:$BH281),  " ",   "x")))</f>
        <v>x</v>
      </c>
      <c r="AG285" s="50" t="str">
        <f>IF(SUM($H283:AG283) &gt; SUM($H281:AG281),  " N/A", IF(SUM($H283:$BG283) = SUM($H281:$BH281),    " ",IF(AG283 = SUM($H281:$BH281),  " ",   "x")))</f>
        <v>x</v>
      </c>
      <c r="AH285" s="50" t="str">
        <f>IF(SUM($H283:AH283) &gt; SUM($H281:AH281),  " N/A", IF(SUM($H283:$BG283) = SUM($H281:$BH281),    " ",IF(AH283 = SUM($H281:$BH281),  " ",   "x")))</f>
        <v>x</v>
      </c>
      <c r="AI285" s="50" t="str">
        <f>IF(SUM($H283:AI283) &gt; SUM($H281:AI281),  " N/A", IF(SUM($H283:$BG283) = SUM($H281:$BH281),    " ",IF(AI283 = SUM($H281:$BH281),  " ",   "x")))</f>
        <v>x</v>
      </c>
      <c r="AJ285" s="50" t="str">
        <f>IF(SUM($H283:AJ283) &gt; SUM($H281:AJ281),  " N/A", IF(SUM($H283:$BG283) = SUM($H281:$BH281),    " ",IF(AJ283 = SUM($H281:$BH281),  " ",   "x")))</f>
        <v>x</v>
      </c>
      <c r="AK285" s="50" t="str">
        <f>IF(SUM($H283:AK283) &gt; SUM($H281:AK281),  " N/A", IF(SUM($H283:$BG283) = SUM($H281:$BH281),    " ",IF(AK283 = SUM($H281:$BH281),  " ",   "x")))</f>
        <v>x</v>
      </c>
      <c r="AL285" s="50" t="str">
        <f>IF(SUM($H283:AL283) &gt; SUM($H281:AL281),  " N/A", IF(SUM($H283:$BG283) = SUM($H281:$BH281),    " ",IF(AL283 = SUM($H281:$BH281),  " ",   "x")))</f>
        <v>x</v>
      </c>
      <c r="AM285" s="50" t="str">
        <f>IF(SUM($H283:AM283) &gt; SUM($H281:AM281),  " N/A", IF(SUM($H283:$BG283) = SUM($H281:$BH281),    " ",IF(AM283 = SUM($H281:$BH281),  " ",   "x")))</f>
        <v>x</v>
      </c>
      <c r="AN285" s="50" t="str">
        <f>IF(SUM($H283:AN283) &gt; SUM($H281:AN281),  " N/A", IF(SUM($H283:$BG283) = SUM($H281:$BH281),    " ",IF(AN283 = SUM($H281:$BH281),  " ",   "x")))</f>
        <v>x</v>
      </c>
      <c r="AO285" s="50" t="str">
        <f>IF(SUM($H283:AO283) &gt; SUM($H281:AO281),  " N/A", IF(SUM($H283:$BG283) = SUM($H281:$BH281),    " ",IF(AO283 = SUM($H281:$BH281),  " ",   "x")))</f>
        <v>x</v>
      </c>
      <c r="AP285" s="50" t="str">
        <f>IF(SUM($H283:AP283) &gt; SUM($H281:AP281),  " N/A", IF(SUM($H283:$BG283) = SUM($H281:$BH281),    " ",IF(AP283 = SUM($H281:$BH281),  " ",   "x")))</f>
        <v>x</v>
      </c>
      <c r="AQ285" s="50" t="str">
        <f>IF(SUM($H283:AQ283) &gt; SUM($H281:AQ281),  " N/A", IF(SUM($H283:$BG283) = SUM($H281:$BH281),    " ",IF(AQ283 = SUM($H281:$BH281),  " ",   "x")))</f>
        <v>x</v>
      </c>
      <c r="AR285" s="50" t="str">
        <f>IF(SUM($H283:AR283) &gt; SUM($H281:AR281),  " N/A", IF(SUM($H283:$BG283) = SUM($H281:$BH281),    " ",IF(AR283 = SUM($H281:$BH281),  " ",   "x")))</f>
        <v>x</v>
      </c>
      <c r="AS285" s="50" t="str">
        <f>IF(SUM($H283:AS283) &gt; SUM($H281:AS281),  " N/A", IF(SUM($H283:$BG283) = SUM($H281:$BH281),    " ",IF(AS283 = SUM($H281:$BH281),  " ",   "x")))</f>
        <v>x</v>
      </c>
      <c r="AT285" s="50" t="str">
        <f>IF(SUM($H283:AT283) &gt; SUM($H281:AT281),  " N/A", IF(SUM($H283:$BG283) = SUM($H281:$BH281),    " ",IF(AT283 = SUM($H281:$BH281),  " ",   "x")))</f>
        <v>x</v>
      </c>
      <c r="AU285" s="50" t="str">
        <f>IF(SUM($H283:AU283) &gt; SUM($H281:AU281),  " N/A", IF(SUM($H283:$BG283) = SUM($H281:$BH281),    " ",IF(AU283 = SUM($H281:$BH281),  " ",   "x")))</f>
        <v>x</v>
      </c>
      <c r="AV285" s="50" t="str">
        <f>IF(SUM($H283:AV283) &gt; SUM($H281:AV281),  " N/A", IF(SUM($H283:$BG283) = SUM($H281:$BH281),    " ",IF(AV283 = SUM($H281:$BH281),  " ",   "x")))</f>
        <v>x</v>
      </c>
      <c r="AW285" s="50" t="str">
        <f>IF(SUM($H283:AW283) &gt; SUM($H281:AW281),  " N/A", IF(SUM($H283:$BG283) = SUM($H281:$BH281),    " ",IF(AW283 = SUM($H281:$BH281),  " ",   "x")))</f>
        <v>x</v>
      </c>
      <c r="AX285" s="50" t="str">
        <f>IF(SUM($H283:AX283) &gt; SUM($H281:AX281),  " N/A", IF(SUM($H283:$BG283) = SUM($H281:$BH281),    " ",IF(AX283 = SUM($H281:$BH281),  " ",   "x")))</f>
        <v>x</v>
      </c>
      <c r="AY285" s="50" t="str">
        <f>IF(SUM($H283:AY283) &gt; SUM($H281:AY281),  " N/A", IF(SUM($H283:$BG283) = SUM($H281:$BH281),    " ",IF(AY283 = SUM($H281:$BH281),  " ",   "x")))</f>
        <v>x</v>
      </c>
      <c r="AZ285" s="50" t="str">
        <f>IF(SUM($H283:AZ283) &gt; SUM($H281:AZ281),  " N/A", IF(SUM($H283:$BG283) = SUM($H281:$BH281),    " ",IF(AZ283 = SUM($H281:$BH281),  " ",   "x")))</f>
        <v>x</v>
      </c>
      <c r="BA285" s="50" t="str">
        <f>IF(SUM($H283:BA283) &gt; SUM($H281:BA281),  " N/A", IF(SUM($H283:$BG283) = SUM($H281:$BH281),    " ",IF(BA283 = SUM($H281:$BH281),  " ",   "x")))</f>
        <v>x</v>
      </c>
      <c r="BB285" s="50" t="str">
        <f>IF(SUM($H283:BB283) &gt; SUM($H281:BB281),  " N/A", IF(SUM($H283:$BG283) = SUM($H281:$BH281),    " ",IF(BB283 = SUM($H281:$BH281),  " ",   "x")))</f>
        <v>x</v>
      </c>
      <c r="BC285" s="50" t="str">
        <f>IF(SUM($H283:BC283) &gt; SUM($H281:BC281),  " N/A", IF(SUM($H283:$BG283) = SUM($H281:$BH281),    " ",IF(BC283 = SUM($H281:$BH281),  " ",   "x")))</f>
        <v>x</v>
      </c>
      <c r="BD285" s="50" t="str">
        <f>IF(SUM($H283:BD283) &gt; SUM($H281:BD281),  " N/A", IF(SUM($H283:$BG283) = SUM($H281:$BH281),    " ",IF(BD283 = SUM($H281:$BH281),  " ",   "x")))</f>
        <v>x</v>
      </c>
      <c r="BE285" s="50" t="str">
        <f>IF(SUM($H283:BE283) &gt; SUM($H281:BE281),  " N/A", IF(SUM($H283:$BG283) = SUM($H281:$BH281),    " ",IF(BE283 = SUM($H281:$BH281),  " ",   "x")))</f>
        <v>x</v>
      </c>
      <c r="BF285" s="50" t="str">
        <f>IF(SUM($H283:BF283) &gt; SUM($H281:BF281),  " N/A", IF(SUM($H283:$BG283) = SUM($H281:$BH281),    " ",IF(BF283 = SUM($H281:$BH281),  " ",   "x")))</f>
        <v>x</v>
      </c>
      <c r="BG285" s="50" t="str">
        <f>IF(SUM($H283:BG283) &gt; SUM($H281:BG281),  " N/A", IF(SUM($H283:$BG283) = SUM($H281:$BH281),    " ",IF(BG283 = SUM($H281:$BH281),  " ",   "x")))</f>
        <v>x</v>
      </c>
      <c r="BH285" s="21"/>
    </row>
    <row r="286" spans="2:60" ht="15.6" x14ac:dyDescent="0.3">
      <c r="B286" s="71"/>
      <c r="C286" s="77"/>
      <c r="D286" s="82" t="s">
        <v>249</v>
      </c>
      <c r="E286" s="54">
        <f>SUM(H286:BG286)</f>
        <v>16</v>
      </c>
      <c r="F286" s="115">
        <f>Gant_24!$E286-E288</f>
        <v>0</v>
      </c>
      <c r="H286" s="41"/>
      <c r="I286" s="42"/>
      <c r="J286" s="42"/>
      <c r="K286" s="42"/>
      <c r="L286" s="51"/>
      <c r="M286" s="51"/>
      <c r="N286" s="51"/>
      <c r="O286" s="51"/>
      <c r="P286" s="51"/>
      <c r="Q286" s="51"/>
      <c r="R286" s="51"/>
      <c r="S286" s="51"/>
      <c r="T286" s="51"/>
      <c r="U286" s="51"/>
      <c r="V286" s="51"/>
      <c r="W286" s="51"/>
      <c r="X286" s="51"/>
      <c r="Y286" s="51"/>
      <c r="Z286" s="51"/>
      <c r="AA286" s="51"/>
      <c r="AB286" s="51"/>
      <c r="AC286" s="51">
        <v>16</v>
      </c>
      <c r="AD286" s="51"/>
      <c r="AE286" s="51"/>
      <c r="AF286" s="51"/>
      <c r="AG286" s="51"/>
      <c r="AH286" s="51"/>
      <c r="AI286" s="51"/>
      <c r="AJ286" s="51"/>
      <c r="AK286" s="51"/>
      <c r="AL286" s="51"/>
      <c r="AM286" s="51"/>
      <c r="AN286" s="51"/>
      <c r="AO286" s="51"/>
      <c r="AP286" s="51"/>
      <c r="AQ286" s="51"/>
      <c r="AR286" s="51"/>
      <c r="AS286" s="51"/>
      <c r="AT286" s="51"/>
      <c r="AU286" s="51"/>
      <c r="AV286" s="51"/>
      <c r="AW286" s="51"/>
      <c r="AX286" s="51"/>
      <c r="AY286" s="51"/>
      <c r="AZ286" s="51"/>
      <c r="BA286" s="51"/>
      <c r="BB286" s="51"/>
      <c r="BC286" s="51"/>
      <c r="BD286" s="51"/>
      <c r="BE286" s="51"/>
      <c r="BF286" s="51"/>
      <c r="BG286" s="51"/>
      <c r="BH286" s="21"/>
    </row>
    <row r="287" spans="2:60" ht="15.6" x14ac:dyDescent="0.3">
      <c r="B287" s="68"/>
      <c r="C287" s="78"/>
      <c r="D287" s="83" t="s">
        <v>261</v>
      </c>
      <c r="E287" s="55">
        <f>SUM(H287:BG287)</f>
        <v>5</v>
      </c>
      <c r="F287" s="116"/>
      <c r="H287" s="43"/>
      <c r="I287" s="44"/>
      <c r="J287" s="44"/>
      <c r="K287" s="44"/>
      <c r="L287" s="50"/>
      <c r="M287" s="50"/>
      <c r="N287" s="50"/>
      <c r="O287" s="50"/>
      <c r="P287" s="50"/>
      <c r="Q287" s="50"/>
      <c r="R287" s="50"/>
      <c r="S287" s="50"/>
      <c r="T287" s="50"/>
      <c r="U287" s="50"/>
      <c r="V287" s="50"/>
      <c r="W287" s="50"/>
      <c r="X287" s="50"/>
      <c r="Y287" s="50"/>
      <c r="Z287" s="50"/>
      <c r="AA287" s="50"/>
      <c r="AB287" s="50"/>
      <c r="AC287" s="50"/>
      <c r="AD287" s="50"/>
      <c r="AE287" s="50"/>
      <c r="AF287" s="50">
        <v>5</v>
      </c>
      <c r="AG287" s="50"/>
      <c r="AH287" s="50"/>
      <c r="AI287" s="50"/>
      <c r="AJ287" s="50"/>
      <c r="AK287" s="50"/>
      <c r="AL287" s="50"/>
      <c r="AM287" s="50"/>
      <c r="AN287" s="50"/>
      <c r="AO287" s="50"/>
      <c r="AP287" s="50"/>
      <c r="AQ287" s="50"/>
      <c r="AR287" s="50"/>
      <c r="AS287" s="50"/>
      <c r="AT287" s="50"/>
      <c r="AU287" s="50"/>
      <c r="AV287" s="50"/>
      <c r="AW287" s="50"/>
      <c r="AX287" s="50"/>
      <c r="AY287" s="50"/>
      <c r="AZ287" s="50"/>
      <c r="BA287" s="50"/>
      <c r="BB287" s="50"/>
      <c r="BC287" s="50"/>
      <c r="BD287" s="50"/>
      <c r="BE287" s="50"/>
      <c r="BF287" s="50"/>
      <c r="BG287" s="50"/>
      <c r="BH287" s="21"/>
    </row>
    <row r="288" spans="2:60" ht="15.6" x14ac:dyDescent="0.3">
      <c r="B288" s="68" t="s">
        <v>226</v>
      </c>
      <c r="C288" s="78" t="s">
        <v>227</v>
      </c>
      <c r="D288" s="83" t="s">
        <v>241</v>
      </c>
      <c r="E288" s="55">
        <f>SUM(H288:BG288)</f>
        <v>16</v>
      </c>
      <c r="F288" s="116"/>
      <c r="H288" s="45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>
        <v>16</v>
      </c>
      <c r="AG288" s="46"/>
      <c r="AH288" s="46"/>
      <c r="AI288" s="46"/>
      <c r="AJ288" s="46"/>
      <c r="AK288" s="46"/>
      <c r="AL288" s="46"/>
      <c r="AM288" s="46"/>
      <c r="AN288" s="46"/>
      <c r="AO288" s="46"/>
      <c r="AP288" s="46"/>
      <c r="AQ288" s="46"/>
      <c r="AR288" s="46"/>
      <c r="AS288" s="46"/>
      <c r="AT288" s="46"/>
      <c r="AU288" s="46"/>
      <c r="AV288" s="46"/>
      <c r="AW288" s="46"/>
      <c r="AX288" s="46"/>
      <c r="AY288" s="46"/>
      <c r="AZ288" s="46"/>
      <c r="BA288" s="46"/>
      <c r="BB288" s="46"/>
      <c r="BC288" s="46"/>
      <c r="BD288" s="46"/>
      <c r="BE288" s="46"/>
      <c r="BF288" s="46"/>
      <c r="BG288" s="46"/>
      <c r="BH288" s="21"/>
    </row>
    <row r="289" spans="2:60" ht="15.6" x14ac:dyDescent="0.3">
      <c r="B289" s="68"/>
      <c r="C289" s="78"/>
      <c r="D289" s="83" t="s">
        <v>278</v>
      </c>
      <c r="E289" s="56">
        <f ca="1">MAX(H289:BG289)</f>
        <v>0</v>
      </c>
      <c r="F289" s="116"/>
      <c r="H289" s="47"/>
      <c r="I289" s="48"/>
      <c r="J289" s="48"/>
      <c r="K289" s="48"/>
      <c r="L289" s="50"/>
      <c r="M289" s="50"/>
      <c r="N289" s="50"/>
      <c r="O289" s="50"/>
      <c r="P289" s="50"/>
      <c r="Q289" s="50"/>
      <c r="R289" s="50"/>
      <c r="S289" s="50"/>
      <c r="T289" s="50"/>
      <c r="U289" s="50"/>
      <c r="V289" s="50"/>
      <c r="W289" s="50"/>
      <c r="X289" s="50"/>
      <c r="Y289" s="50"/>
      <c r="Z289" s="50"/>
      <c r="AA289" s="44"/>
      <c r="AB289" s="44"/>
      <c r="AC289" s="44" t="str">
        <f>IF(SUM(H286:BG286) = AC288, " ", " ")</f>
        <v xml:space="preserve"> </v>
      </c>
      <c r="AD289" s="44" t="str">
        <f ca="1">IF(AD9&gt;WEEKNUM(TODAY())," ", IF(AND(AE10="x",SUM($AC288:AD288)&gt;$AC286),H9-(SUM($AC288:AD288)/SUM($AC286:$BG286)),IF(SUM($AC288:AD288)&gt;=$AC286," ",H9-(SUM($AC288:AD288)/(SUM($AC286:$BG286))))))</f>
        <v xml:space="preserve"> </v>
      </c>
      <c r="AE289" s="44" t="str">
        <f ca="1">IF(AE9&gt;WEEKNUM(TODAY())," ", IF(AND(AF10="x",SUM($AC288:AE288)&gt;$AC286),I9-(SUM($AC288:AE288)/SUM($AC286:$BG286)),IF(SUM($AC288:AE288)&gt;=$AC286," ",I9-(SUM($AC288:AE288)/(SUM($AC286:$BG286))))))</f>
        <v xml:space="preserve"> </v>
      </c>
      <c r="AF289" s="44" t="str">
        <f ca="1">IF(AF9&gt;WEEKNUM(TODAY())," ", IF(AND(AG10="x",SUM($AC288:AF288)&gt;$AC286),J9-(SUM($AC288:AF288)/SUM($AC286:$BG286)),IF(SUM($AC288:AF288)&gt;=$AC286," ",J9-(SUM($AC288:AF288)/(SUM($AC286:$BG286))))))</f>
        <v xml:space="preserve"> </v>
      </c>
      <c r="AG289" s="44" t="str">
        <f ca="1">IF(AG9&gt;WEEKNUM(TODAY())," ", IF(AND(AH10="x",SUM($AC288:AG288)&gt;$AC286),K9-(SUM($AC288:AG288)/SUM($AC286:$BG286)),IF(SUM($AC288:AG288)&gt;=$AC286," ",K9-(SUM($AC288:AG288)/(SUM($AC286:$BG286))))))</f>
        <v xml:space="preserve"> </v>
      </c>
      <c r="AH289" s="44" t="str">
        <f ca="1">IF(AH9&gt;WEEKNUM(TODAY())," ", IF(AND(AI10="x",SUM($AC288:AH288)&gt;$AC286),L9-(SUM($AC288:AH288)/SUM($AC286:$BG286)),IF(SUM($AC288:AH288)&gt;=$AC286," ",L9-(SUM($AC288:AH288)/(SUM($AC286:$BG286))))))</f>
        <v xml:space="preserve"> </v>
      </c>
      <c r="AI289" s="44" t="str">
        <f ca="1">IF(AI9&gt;WEEKNUM(TODAY())," ", IF(AND(AJ10="x",SUM($AC288:AI288)&gt;$AC286),M9-(SUM($AC288:AI288)/SUM($AC286:$BG286)),IF(SUM($AC288:AI288)&gt;=$AC286," ",M9-(SUM($AC288:AI288)/(SUM($AC286:$BG286))))))</f>
        <v xml:space="preserve"> </v>
      </c>
      <c r="AJ289" s="44" t="str">
        <f ca="1">IF(AJ9&gt;WEEKNUM(TODAY())," ", IF(AND(AK10="x",SUM($AC288:AJ288)&gt;$AC286),N9-(SUM($AC288:AJ288)/SUM($AC286:$BG286)),IF(SUM($AC288:AJ288)&gt;=$AC286," ",N9-(SUM($AC288:AJ288)/(SUM($AC286:$BG286))))))</f>
        <v xml:space="preserve"> </v>
      </c>
      <c r="AK289" s="44" t="str">
        <f ca="1">IF(AK9&gt;WEEKNUM(TODAY())," ", IF(AND(AL10="x",SUM($AC288:AK288)&gt;$AC286),O9-(SUM($AC288:AK288)/SUM($AC286:$BG286)),IF(SUM($AC288:AK288)&gt;=$AC286," ",O9-(SUM($AC288:AK288)/(SUM($AC286:$BG286))))))</f>
        <v xml:space="preserve"> </v>
      </c>
      <c r="AL289" s="44" t="str">
        <f ca="1">IF(AL9&gt;WEEKNUM(TODAY())," ", IF(AND(AM10="x",SUM($AC288:AL288)&gt;$AC286),P9-(SUM($AC288:AL288)/SUM($AC286:$BG286)),IF(SUM($AC288:AL288)&gt;=$AC286," ",P9-(SUM($AC288:AL288)/(SUM($AC286:$BG286))))))</f>
        <v xml:space="preserve"> </v>
      </c>
      <c r="AM289" s="44" t="str">
        <f ca="1">IF(AM9&gt;WEEKNUM(TODAY())," ", IF(AND(AN10="x",SUM($AC288:AM288)&gt;$AC286),Q9-(SUM($AC288:AM288)/SUM($AC286:$BG286)),IF(SUM($AC288:AM288)&gt;=$AC286," ",Q9-(SUM($AC288:AM288)/(SUM($AC286:$BG286))))))</f>
        <v xml:space="preserve"> </v>
      </c>
      <c r="AN289" s="44" t="str">
        <f ca="1">IF(AN9&gt;WEEKNUM(TODAY())," ", IF(AND(AO10="x",SUM($AC288:AN288)&gt;$AC286),R9-(SUM($AC288:AN288)/SUM($AC286:$BG286)),IF(SUM($AC288:AN288)&gt;=$AC286," ",R9-(SUM($AC288:AN288)/(SUM($AC286:$BG286))))))</f>
        <v xml:space="preserve"> </v>
      </c>
      <c r="AO289" s="44" t="str">
        <f ca="1">IF(AO9&gt;WEEKNUM(TODAY())," ", IF(AND(AP10="x",SUM($AC288:AO288)&gt;$AC286),S9-(SUM($AC288:AO288)/SUM($AC286:$BG286)),IF(SUM($AC288:AO288)&gt;=$AC286," ",S9-(SUM($AC288:AO288)/(SUM($AC286:$BG286))))))</f>
        <v xml:space="preserve"> </v>
      </c>
      <c r="AP289" s="44" t="str">
        <f ca="1">IF(AP9&gt;WEEKNUM(TODAY())," ", IF(AND(AQ10="x",SUM($AC288:AP288)&gt;$AC286),T9-(SUM($AC288:AP288)/SUM($AC286:$BG286)),IF(SUM($AC288:AP288)&gt;=$AC286," ",T9-(SUM($AC288:AP288)/(SUM($AC286:$BG286))))))</f>
        <v xml:space="preserve"> </v>
      </c>
      <c r="AQ289" s="44" t="str">
        <f ca="1">IF(AQ9&gt;WEEKNUM(TODAY())," ", IF(AND(AR10="x",SUM($AC288:AQ288)&gt;$AC286),U9-(SUM($AC288:AQ288)/SUM($AC286:$BG286)),IF(SUM($AC288:AQ288)&gt;=$AC286," ",U9-(SUM($AC288:AQ288)/(SUM($AC286:$BG286))))))</f>
        <v xml:space="preserve"> </v>
      </c>
      <c r="AR289" s="44" t="str">
        <f ca="1">IF(AR9&gt;WEEKNUM(TODAY())," ", IF(AND(AS10="x",SUM($AC288:AR288)&gt;$AC286),V9-(SUM($AC288:AR288)/SUM($AC286:$BG286)),IF(SUM($AC288:AR288)&gt;=$AC286," ",V9-(SUM($AC288:AR288)/(SUM($AC286:$BG286))))))</f>
        <v xml:space="preserve"> </v>
      </c>
      <c r="AS289" s="44" t="str">
        <f ca="1">IF(AS9&gt;WEEKNUM(TODAY())," ", IF(AND(AT10="x",SUM($AC288:AS288)&gt;$AC286),W9-(SUM($AC288:AS288)/SUM($AC286:$BG286)),IF(SUM($AC288:AS288)&gt;=$AC286," ",W9-(SUM($AC288:AS288)/(SUM($AC286:$BG286))))))</f>
        <v xml:space="preserve"> </v>
      </c>
      <c r="AT289" s="44" t="str">
        <f ca="1">IF(AT9&gt;WEEKNUM(TODAY())," ", IF(AND(AU10="x",SUM($AC288:AT288)&gt;$AC286),X9-(SUM($AC288:AT288)/SUM($AC286:$BG286)),IF(SUM($AC288:AT288)&gt;=$AC286," ",X9-(SUM($AC288:AT288)/(SUM($AC286:$BG286))))))</f>
        <v xml:space="preserve"> </v>
      </c>
      <c r="AU289" s="44" t="str">
        <f ca="1">IF(AU9&gt;WEEKNUM(TODAY())," ", IF(AND(AV10="x",SUM($AC288:AU288)&gt;$AC286),Y9-(SUM($AC288:AU288)/SUM($AC286:$BG286)),IF(SUM($AC288:AU288)&gt;=$AC286," ",Y9-(SUM($AC288:AU288)/(SUM($AC286:$BG286))))))</f>
        <v xml:space="preserve"> </v>
      </c>
      <c r="AV289" s="44" t="str">
        <f ca="1">IF(AV9&gt;WEEKNUM(TODAY())," ", IF(AND(AW10="x",SUM($AC288:AV288)&gt;$AC286),Z9-(SUM($AC288:AV288)/SUM($AC286:$BG286)),IF(SUM($AC288:AV288)&gt;=$AC286," ",Z9-(SUM($AC288:AV288)/(SUM($AC286:$BG286))))))</f>
        <v xml:space="preserve"> </v>
      </c>
      <c r="AW289" s="44" t="str">
        <f ca="1">IF(AW9&gt;WEEKNUM(TODAY())," ", IF(AND(AX10="x",SUM($AC288:AW288)&gt;$AC286),AA9-(SUM($AC288:AW288)/SUM($AC286:$BG286)),IF(SUM($AC288:AW288)&gt;=$AC286," ",AA9-(SUM($AC288:AW288)/(SUM($AC286:$BG286))))))</f>
        <v xml:space="preserve"> </v>
      </c>
      <c r="AX289" s="44" t="str">
        <f ca="1">IF(AX9&gt;WEEKNUM(TODAY())," ", IF(AND(AY10="x",SUM($AC288:AX288)&gt;$AC286),AB9-(SUM($AC288:AX288)/SUM($AC286:$BG286)),IF(SUM($AC288:AX288)&gt;=$AC286," ",AB9-(SUM($AC288:AX288)/(SUM($AC286:$BG286))))))</f>
        <v xml:space="preserve"> </v>
      </c>
      <c r="AY289" s="44" t="str">
        <f ca="1">IF(AY9&gt;WEEKNUM(TODAY())," ", IF(AND(AZ10="x",SUM($AC288:AY288)&gt;$AC286),AC9-(SUM($AC288:AY288)/SUM($AC286:$BG286)),IF(SUM($AC288:AY288)&gt;=$AC286," ",AC9-(SUM($AC288:AY288)/(SUM($AC286:$BG286))))))</f>
        <v xml:space="preserve"> </v>
      </c>
      <c r="AZ289" s="44" t="str">
        <f ca="1">IF(AZ9&gt;WEEKNUM(TODAY())," ", IF(AND(BA10="x",SUM($AC288:AZ288)&gt;$AC286),AD9-(SUM($AC288:AZ288)/SUM($AC286:$BG286)),IF(SUM($AC288:AZ288)&gt;=$AC286," ",AD9-(SUM($AC288:AZ288)/(SUM($AC286:$BG286))))))</f>
        <v xml:space="preserve"> </v>
      </c>
      <c r="BA289" s="44" t="str">
        <f ca="1">IF(BA9&gt;WEEKNUM(TODAY())," ", IF(AND(BB10="x",SUM($AC288:BA288)&gt;$AC286),AE9-(SUM($AC288:BA288)/SUM($AC286:$BG286)),IF(SUM($AC288:BA288)&gt;=$AC286," ",AE9-(SUM($AC288:BA288)/(SUM($AC286:$BG286))))))</f>
        <v xml:space="preserve"> </v>
      </c>
      <c r="BB289" s="44" t="str">
        <f ca="1">IF(BB9&gt;WEEKNUM(TODAY())," ", IF(AND(BC10="x",SUM($AC288:BB288)&gt;$AC286),AF9-(SUM($AC288:BB288)/SUM($AC286:$BG286)),IF(SUM($AC288:BB288)&gt;=$AC286," ",AF9-(SUM($AC288:BB288)/(SUM($AC286:$BG286))))))</f>
        <v xml:space="preserve"> </v>
      </c>
      <c r="BC289" s="44" t="str">
        <f ca="1">IF(BC9&gt;WEEKNUM(TODAY())," ", IF(AND(BD10="x",SUM($AC288:BC288)&gt;$AC286),AG9-(SUM($AC288:BC288)/SUM($AC286:$BG286)),IF(SUM($AC288:BC288)&gt;=$AC286," ",AG9-(SUM($AC288:BC288)/(SUM($AC286:$BG286))))))</f>
        <v xml:space="preserve"> </v>
      </c>
      <c r="BD289" s="44" t="str">
        <f ca="1">IF(BD9&gt;WEEKNUM(TODAY())," ", IF(AND(BE10="x",SUM($AC288:BD288)&gt;$AC286),AH9-(SUM($AC288:BD288)/SUM($AC286:$BG286)),IF(SUM($AC288:BD288)&gt;=$AC286," ",AH9-(SUM($AC288:BD288)/(SUM($AC286:$BG286))))))</f>
        <v xml:space="preserve"> </v>
      </c>
      <c r="BE289" s="44" t="str">
        <f ca="1">IF(BE9&gt;WEEKNUM(TODAY())," ", IF(AND(BF10="x",SUM($AC288:BE288)&gt;$AC286),AI9-(SUM($AC288:BE288)/SUM($AC286:$BG286)),IF(SUM($AC288:BE288)&gt;=$AC286," ",AI9-(SUM($AC288:BE288)/(SUM($AC286:$BG286))))))</f>
        <v xml:space="preserve"> </v>
      </c>
      <c r="BF289" s="44" t="str">
        <f ca="1">IF(BF9&gt;WEEKNUM(TODAY())," ", IF(AND(BG10="x",SUM($AC288:BF288)&gt;$AC286),AJ9-(SUM($AC288:BF288)/SUM($AC286:$BG286)),IF(SUM($AC288:BF288)&gt;=$AC286," ",AJ9-(SUM($AC288:BF288)/(SUM($AC286:$BG286))))))</f>
        <v xml:space="preserve"> </v>
      </c>
      <c r="BG289" s="44" t="str">
        <f ca="1">IF(BG9&gt;WEEKNUM(TODAY())," ", IF(AND(BH10="x",SUM($AC288:BG288)&gt;$AC286),AK9-(SUM($AC288:BG288)/SUM($AC286:$BG286)),IF(SUM($AC288:BG288)&gt;=$AC286," ",AK9-(SUM($AC288:BG288)/(SUM($AC286:$BG286))))))</f>
        <v xml:space="preserve"> </v>
      </c>
      <c r="BH289" s="21"/>
    </row>
    <row r="290" spans="2:60" ht="16.2" thickBot="1" x14ac:dyDescent="0.35">
      <c r="B290" s="70"/>
      <c r="C290" s="79"/>
      <c r="D290" s="84"/>
      <c r="E290" s="57"/>
      <c r="F290" s="117"/>
      <c r="G290" s="44" t="str">
        <f>IF(SUM(G288:$H288) &gt; SUM(G286:$H286),  " N/A", IF(SUM($H288:$BG288) = SUM($H231:$BH231),    " ",IF(G288 = SUM($H231:$BH231),  " ",   "x")))</f>
        <v>x</v>
      </c>
      <c r="H290" s="44" t="str">
        <f>IF(SUM($H288:H288) &gt; SUM($H286:H286),  " N/A", IF(SUM($H288:$BG288) = SUM($H231:$BH231),    " ",IF(H288 = SUM($H231:$BH231),  " ",   "x")))</f>
        <v>x</v>
      </c>
      <c r="I290" s="44" t="str">
        <f>IF(SUM($H288:I288) &gt; SUM($H286:I286),  " N/A", IF(SUM($H288:$BG288) = SUM($H231:$BH231),    " ",IF(I288 = SUM($H231:$BH231),  " ",   "x")))</f>
        <v>x</v>
      </c>
      <c r="J290" s="44" t="str">
        <f>IF(SUM($H288:J288) &gt; SUM($H286:J286),  " N/A", IF(SUM($H288:$BG288) = SUM($H231:$BH231),    " ",IF(J288 = SUM($H231:$BH231),  " ",   "x")))</f>
        <v>x</v>
      </c>
      <c r="K290" s="44" t="str">
        <f>IF(SUM($H288:K288) &gt; SUM($H286:K286),  " N/A", IF(SUM($H288:$BG288) = SUM($H231:$BH231),    " ",IF(K288 = SUM($H231:$BH231),  " ",   "x")))</f>
        <v>x</v>
      </c>
      <c r="L290" s="44" t="str">
        <f>IF(SUM($H288:L288) &gt; SUM($H286:L286),  " N/A", IF(SUM($H288:$BG288) = SUM($H231:$BH231),    " ",IF(L288 = SUM($H231:$BH231),  " ",   "x")))</f>
        <v>x</v>
      </c>
      <c r="M290" s="44" t="str">
        <f>IF(SUM($H288:M288) &gt; SUM($H286:M286),  " N/A", IF(SUM($H288:$BG288) = SUM($H231:$BH231),    " ",IF(M288 = SUM($H231:$BH231),  " ",   "x")))</f>
        <v>x</v>
      </c>
      <c r="N290" s="44" t="str">
        <f>IF(SUM($H288:N288) &gt; SUM($H286:N286),  " N/A", IF(SUM($H288:$BG288) = SUM($H231:$BH231),    " ",IF(N288 = SUM($H231:$BH231),  " ",   "x")))</f>
        <v>x</v>
      </c>
      <c r="O290" s="44" t="str">
        <f>IF(SUM($H288:O288) &gt; SUM($H286:O286),  " N/A", IF(SUM($H288:$BG288) = SUM($H231:$BH231),    " ",IF(O288 = SUM($H231:$BH231),  " ",   "x")))</f>
        <v>x</v>
      </c>
      <c r="P290" s="44" t="str">
        <f>IF(SUM($H288:P288) &gt; SUM($H286:P286),  " N/A", IF(SUM($H288:$BG288) = SUM($H231:$BH231),    " ",IF(P288 = SUM($H231:$BH231),  " ",   "x")))</f>
        <v>x</v>
      </c>
      <c r="Q290" s="44" t="str">
        <f>IF(SUM($H288:Q288) &gt; SUM($H286:Q286),  " N/A", IF(SUM($H288:$BG288) = SUM($H231:$BH231),    " ",IF(Q288 = SUM($H231:$BH231),  " ",   "x")))</f>
        <v>x</v>
      </c>
      <c r="R290" s="44" t="str">
        <f>IF(SUM($H288:R288) &gt; SUM($H286:R286),  " N/A", IF(SUM($H288:$BG288) = SUM($H231:$BH231),    " ",IF(R288 = SUM($H231:$BH231),  " ",   "x")))</f>
        <v>x</v>
      </c>
      <c r="S290" s="44" t="str">
        <f>IF(SUM($H288:S288) &gt; SUM($H286:S286),  " N/A", IF(SUM($H288:$BG288) = SUM($H231:$BH231),    " ",IF(S288 = SUM($H231:$BH231),  " ",   "x")))</f>
        <v>x</v>
      </c>
      <c r="T290" s="44" t="str">
        <f>IF(SUM($H288:T288) &gt; SUM($H286:T286),  " N/A", IF(SUM($H288:$BG288) = SUM($H231:$BH231),    " ",IF(T288 = SUM($H231:$BH231),  " ",   "x")))</f>
        <v>x</v>
      </c>
      <c r="U290" s="44" t="str">
        <f>IF(SUM($H288:U288) &gt; SUM($H286:U286),  " N/A", IF(SUM($H288:$BG288) = SUM($H231:$BH231),    " ",IF(U288 = SUM($H231:$BH231),  " ",   "x")))</f>
        <v>x</v>
      </c>
      <c r="V290" s="44" t="str">
        <f>IF(SUM($H288:V288) &gt; SUM($H286:V286),  " N/A", IF(SUM($H288:$BG288) = SUM($H231:$BH231),    " ",IF(V288 = SUM($H231:$BH231),  " ",   "x")))</f>
        <v>x</v>
      </c>
      <c r="W290" s="44" t="str">
        <f>IF(SUM($H288:W288) &gt; SUM($H286:W286),  " N/A", IF(SUM($H288:$BG288) = SUM($H231:$BH231),    " ",IF(W288 = SUM($H231:$BH231),  " ",   "x")))</f>
        <v>x</v>
      </c>
      <c r="X290" s="44" t="str">
        <f>IF(SUM($H288:X288) &gt; SUM($H286:X286),  " N/A", IF(SUM($H288:$BG288) = SUM($H231:$BH231),    " ",IF(X288 = SUM($H231:$BH231),  " ",   "x")))</f>
        <v>x</v>
      </c>
      <c r="Y290" s="44" t="str">
        <f>IF(SUM($H288:Y288) &gt; SUM($H286:Y286),  " N/A", IF(SUM($H288:$BG288) = SUM($H231:$BH231),    " ",IF(Y288 = SUM($H231:$BH231),  " ",   "x")))</f>
        <v>x</v>
      </c>
      <c r="Z290" s="44" t="str">
        <f>IF(SUM($H288:Z288) &gt; SUM($H286:Z286),  " N/A", IF(SUM($H288:$BG288) = SUM($H231:$BH231),    " ",IF(Z288 = SUM($H231:$BH231),  " ",   "x")))</f>
        <v>x</v>
      </c>
      <c r="AA290" s="44" t="str">
        <f>IF(SUM($H288:AA288) &gt; SUM($H286:AA286),  " N/A", IF(SUM($H288:$BG288) = SUM($H231:$BH231),    " ",IF(AA288 = SUM($H231:$BH231),  " ",   "x")))</f>
        <v>x</v>
      </c>
      <c r="AB290" s="44" t="str">
        <f>IF(SUM($H288:AB288) &gt; SUM($H286:AB286),  " N/A", IF(SUM($H288:$BG288) = SUM($H231:$BH231),    " ",IF(AB288 = SUM($H231:$BH231),  " ",   "x")))</f>
        <v>x</v>
      </c>
      <c r="AC290" s="44" t="str">
        <f>IF(SUM($H288:AC288) &gt; SUM($H286:AC286),  " N/A", IF(SUM($H288:$BG288) = SUM($H231:$BH231),    " ",IF(AC288 = SUM($H231:$BH231),  " ",   "x")))</f>
        <v>x</v>
      </c>
      <c r="AD290" s="44" t="str">
        <f>IF(SUM($H288:AD288) &gt; SUM($H286:AD286),  " N/A", IF(SUM($H288:$BG288) = SUM($H231:$BH231),    " ",IF(AD288 = SUM($H231:$BH231),  " ",   "x")))</f>
        <v>x</v>
      </c>
      <c r="AE290" s="44" t="str">
        <f>IF(SUM($H288:AE288) &gt; SUM($H286:AE286),  " N/A", IF(SUM($H288:$BG288) = SUM($H231:$BH231),    " ",IF(AE288 = SUM($H231:$BH231),  " ",   "x")))</f>
        <v>x</v>
      </c>
      <c r="AF290" s="44" t="str">
        <f>IF(SUM($H288:AF288) &gt; SUM($H286:AF286),  " N/A", IF(SUM($H288:$BG288) = SUM($H231:$BH231),    " ",IF(AF288 = SUM($H231:$BH231),  " ",   "x")))</f>
        <v>x</v>
      </c>
      <c r="AG290" s="44" t="str">
        <f>IF(SUM($H288:AG288) &gt; SUM($H286:AG286),  " N/A", IF(SUM($H288:$BG288) = SUM($H231:$BH231),    " ",IF(AG288 = SUM($H231:$BH231),  " ",   "x")))</f>
        <v>x</v>
      </c>
      <c r="AH290" s="44" t="str">
        <f>IF(SUM($H288:AH288) &gt; SUM($H286:AH286),  " N/A", IF(SUM($H288:$BG288) = SUM($H231:$BH231),    " ",IF(AH288 = SUM($H231:$BH231),  " ",   "x")))</f>
        <v>x</v>
      </c>
      <c r="AI290" s="44" t="str">
        <f>IF(SUM($H288:AI288) &gt; SUM($H286:AI286),  " N/A", IF(SUM($H288:$BG288) = SUM($H231:$BH231),    " ",IF(AI288 = SUM($H231:$BH231),  " ",   "x")))</f>
        <v>x</v>
      </c>
      <c r="AJ290" s="44" t="str">
        <f>IF(SUM($H288:AJ288) &gt; SUM($H286:AJ286),  " N/A", IF(SUM($H288:$BG288) = SUM($H231:$BH231),    " ",IF(AJ288 = SUM($H231:$BH231),  " ",   "x")))</f>
        <v>x</v>
      </c>
      <c r="AK290" s="44" t="str">
        <f>IF(SUM($H288:AK288) &gt; SUM($H286:AK286),  " N/A", IF(SUM($H288:$BG288) = SUM($H231:$BH231),    " ",IF(AK288 = SUM($H231:$BH231),  " ",   "x")))</f>
        <v>x</v>
      </c>
      <c r="AL290" s="44" t="str">
        <f>IF(SUM($H288:AL288) &gt; SUM($H286:AL286),  " N/A", IF(SUM($H288:$BG288) = SUM($H231:$BH231),    " ",IF(AL288 = SUM($H231:$BH231),  " ",   "x")))</f>
        <v>x</v>
      </c>
      <c r="AM290" s="44" t="str">
        <f>IF(SUM($H288:AM288) &gt; SUM($H286:AM286),  " N/A", IF(SUM($H288:$BG288) = SUM($H231:$BH231),    " ",IF(AM288 = SUM($H231:$BH231),  " ",   "x")))</f>
        <v>x</v>
      </c>
      <c r="AN290" s="44" t="str">
        <f>IF(SUM($H288:AN288) &gt; SUM($H286:AN286),  " N/A", IF(SUM($H288:$BG288) = SUM($H231:$BH231),    " ",IF(AN288 = SUM($H231:$BH231),  " ",   "x")))</f>
        <v>x</v>
      </c>
      <c r="AO290" s="44" t="str">
        <f>IF(SUM($H288:AO288) &gt; SUM($H286:AO286),  " N/A", IF(SUM($H288:$BG288) = SUM($H231:$BH231),    " ",IF(AO288 = SUM($H231:$BH231),  " ",   "x")))</f>
        <v>x</v>
      </c>
      <c r="AP290" s="44" t="str">
        <f>IF(SUM($H288:AP288) &gt; SUM($H286:AP286),  " N/A", IF(SUM($H288:$BG288) = SUM($H231:$BH231),    " ",IF(AP288 = SUM($H231:$BH231),  " ",   "x")))</f>
        <v>x</v>
      </c>
      <c r="AQ290" s="44" t="str">
        <f>IF(SUM($H288:AQ288) &gt; SUM($H286:AQ286),  " N/A", IF(SUM($H288:$BG288) = SUM($H231:$BH231),    " ",IF(AQ288 = SUM($H231:$BH231),  " ",   "x")))</f>
        <v>x</v>
      </c>
      <c r="AR290" s="44" t="str">
        <f>IF(SUM($H288:AR288) &gt; SUM($H286:AR286),  " N/A", IF(SUM($H288:$BG288) = SUM($H231:$BH231),    " ",IF(AR288 = SUM($H231:$BH231),  " ",   "x")))</f>
        <v>x</v>
      </c>
      <c r="AS290" s="44" t="str">
        <f>IF(SUM($H288:AS288) &gt; SUM($H286:AS286),  " N/A", IF(SUM($H288:$BG288) = SUM($H231:$BH231),    " ",IF(AS288 = SUM($H231:$BH231),  " ",   "x")))</f>
        <v>x</v>
      </c>
      <c r="AT290" s="44" t="str">
        <f>IF(SUM($H288:AT288) &gt; SUM($H286:AT286),  " N/A", IF(SUM($H288:$BG288) = SUM($H231:$BH231),    " ",IF(AT288 = SUM($H231:$BH231),  " ",   "x")))</f>
        <v>x</v>
      </c>
      <c r="AU290" s="44" t="str">
        <f>IF(SUM($H288:AU288) &gt; SUM($H286:AU286),  " N/A", IF(SUM($H288:$BG288) = SUM($H231:$BH231),    " ",IF(AU288 = SUM($H231:$BH231),  " ",   "x")))</f>
        <v>x</v>
      </c>
      <c r="AV290" s="44" t="str">
        <f>IF(SUM($H288:AV288) &gt; SUM($H286:AV286),  " N/A", IF(SUM($H288:$BG288) = SUM($H231:$BH231),    " ",IF(AV288 = SUM($H231:$BH231),  " ",   "x")))</f>
        <v>x</v>
      </c>
      <c r="AW290" s="44" t="str">
        <f>IF(SUM($H288:AW288) &gt; SUM($H286:AW286),  " N/A", IF(SUM($H288:$BG288) = SUM($H231:$BH231),    " ",IF(AW288 = SUM($H231:$BH231),  " ",   "x")))</f>
        <v>x</v>
      </c>
      <c r="AX290" s="44" t="str">
        <f>IF(SUM($H288:AX288) &gt; SUM($H286:AX286),  " N/A", IF(SUM($H288:$BG288) = SUM($H231:$BH231),    " ",IF(AX288 = SUM($H231:$BH231),  " ",   "x")))</f>
        <v>x</v>
      </c>
      <c r="AY290" s="44" t="str">
        <f>IF(SUM($H288:AY288) &gt; SUM($H286:AY286),  " N/A", IF(SUM($H288:$BG288) = SUM($H231:$BH231),    " ",IF(AY288 = SUM($H231:$BH231),  " ",   "x")))</f>
        <v>x</v>
      </c>
      <c r="AZ290" s="44" t="str">
        <f>IF(SUM($H288:AZ288) &gt; SUM($H286:AZ286),  " N/A", IF(SUM($H288:$BG288) = SUM($H231:$BH231),    " ",IF(AZ288 = SUM($H231:$BH231),  " ",   "x")))</f>
        <v>x</v>
      </c>
      <c r="BA290" s="44" t="str">
        <f>IF(SUM($H288:BA288) &gt; SUM($H286:BA286),  " N/A", IF(SUM($H288:$BG288) = SUM($H231:$BH231),    " ",IF(BA288 = SUM($H231:$BH231),  " ",   "x")))</f>
        <v>x</v>
      </c>
      <c r="BB290" s="44" t="str">
        <f>IF(SUM($H288:BB288) &gt; SUM($H286:BB286),  " N/A", IF(SUM($H288:$BG288) = SUM($H231:$BH231),    " ",IF(BB288 = SUM($H231:$BH231),  " ",   "x")))</f>
        <v>x</v>
      </c>
      <c r="BC290" s="44" t="str">
        <f>IF(SUM($H288:BC288) &gt; SUM($H286:BC286),  " N/A", IF(SUM($H288:$BG288) = SUM($H231:$BH231),    " ",IF(BC288 = SUM($H231:$BH231),  " ",   "x")))</f>
        <v>x</v>
      </c>
      <c r="BD290" s="44" t="str">
        <f>IF(SUM($H288:BD288) &gt; SUM($H286:BD286),  " N/A", IF(SUM($H288:$BG288) = SUM($H231:$BH231),    " ",IF(BD288 = SUM($H231:$BH231),  " ",   "x")))</f>
        <v>x</v>
      </c>
      <c r="BE290" s="44" t="str">
        <f>IF(SUM($H288:BE288) &gt; SUM($H286:BE286),  " N/A", IF(SUM($H288:$BG288) = SUM($H231:$BH231),    " ",IF(BE288 = SUM($H231:$BH231),  " ",   "x")))</f>
        <v>x</v>
      </c>
      <c r="BF290" s="44" t="str">
        <f>IF(SUM($H288:BF288) &gt; SUM($H286:BF286),  " N/A", IF(SUM($H288:$BG288) = SUM($H231:$BH231),    " ",IF(BF288 = SUM($H231:$BH231),  " ",   "x")))</f>
        <v>x</v>
      </c>
      <c r="BG290" s="44" t="str">
        <f>IF(SUM($H288:BG288) &gt; SUM($H286:BG286),  " N/A", IF(SUM($H288:$BG288) = SUM($H231:$BH231),    " ",IF(BG288 = SUM($H231:$BH231),  " ",   "x")))</f>
        <v>x</v>
      </c>
      <c r="BH290" s="21"/>
    </row>
    <row r="291" spans="2:60" ht="15.6" x14ac:dyDescent="0.3">
      <c r="B291" s="71"/>
      <c r="C291" s="77"/>
      <c r="D291" s="82" t="s">
        <v>249</v>
      </c>
      <c r="E291" s="54">
        <f>SUM(H291:BG291)</f>
        <v>24</v>
      </c>
      <c r="F291" s="115">
        <f>Gant_24!$E291-E293</f>
        <v>0</v>
      </c>
      <c r="H291" s="41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>
        <v>24</v>
      </c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42"/>
      <c r="BB291" s="42"/>
      <c r="BC291" s="42"/>
      <c r="BD291" s="42"/>
      <c r="BE291" s="42"/>
      <c r="BF291" s="42"/>
      <c r="BG291" s="42"/>
      <c r="BH291" s="21"/>
    </row>
    <row r="292" spans="2:60" ht="15.6" x14ac:dyDescent="0.3">
      <c r="B292" s="68"/>
      <c r="C292" s="78"/>
      <c r="D292" s="83" t="s">
        <v>261</v>
      </c>
      <c r="E292" s="55">
        <f>SUM(H292:BG292)</f>
        <v>16</v>
      </c>
      <c r="F292" s="116"/>
      <c r="H292" s="43"/>
      <c r="I292" s="44"/>
      <c r="J292" s="44"/>
      <c r="K292" s="44"/>
      <c r="L292" s="44"/>
      <c r="M292" s="44"/>
      <c r="N292" s="44"/>
      <c r="O292" s="44"/>
      <c r="P292" s="44"/>
      <c r="Q292" s="44"/>
      <c r="R292" s="44"/>
      <c r="S292" s="44"/>
      <c r="T292" s="44"/>
      <c r="U292" s="44"/>
      <c r="V292" s="44"/>
      <c r="W292" s="44"/>
      <c r="X292" s="44"/>
      <c r="Y292" s="44"/>
      <c r="Z292" s="44"/>
      <c r="AA292" s="44"/>
      <c r="AB292" s="44"/>
      <c r="AC292" s="44"/>
      <c r="AD292" s="44"/>
      <c r="AE292" s="44"/>
      <c r="AF292" s="44"/>
      <c r="AG292" s="44">
        <v>4</v>
      </c>
      <c r="AH292" s="44">
        <v>12</v>
      </c>
      <c r="AI292" s="44"/>
      <c r="AJ292" s="44"/>
      <c r="AK292" s="44"/>
      <c r="AL292" s="44"/>
      <c r="AM292" s="44"/>
      <c r="AN292" s="44"/>
      <c r="AO292" s="44"/>
      <c r="AP292" s="44"/>
      <c r="AQ292" s="44"/>
      <c r="AR292" s="44"/>
      <c r="AS292" s="44"/>
      <c r="AT292" s="44"/>
      <c r="AU292" s="44"/>
      <c r="AV292" s="44"/>
      <c r="AW292" s="44"/>
      <c r="AX292" s="44"/>
      <c r="AY292" s="44"/>
      <c r="AZ292" s="44"/>
      <c r="BA292" s="44"/>
      <c r="BB292" s="44"/>
      <c r="BC292" s="44"/>
      <c r="BD292" s="44"/>
      <c r="BE292" s="44"/>
      <c r="BF292" s="44"/>
      <c r="BG292" s="44"/>
      <c r="BH292" s="21"/>
    </row>
    <row r="293" spans="2:60" ht="15.6" x14ac:dyDescent="0.3">
      <c r="B293" s="68" t="s">
        <v>229</v>
      </c>
      <c r="C293" s="78" t="s">
        <v>230</v>
      </c>
      <c r="D293" s="83" t="s">
        <v>241</v>
      </c>
      <c r="E293" s="55">
        <f>SUM(H293:BG293)</f>
        <v>24</v>
      </c>
      <c r="F293" s="116"/>
      <c r="H293" s="45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  <c r="AG293" s="46"/>
      <c r="AH293" s="46"/>
      <c r="AI293" s="46">
        <v>24</v>
      </c>
      <c r="AJ293" s="46"/>
      <c r="AK293" s="46"/>
      <c r="AL293" s="46"/>
      <c r="AM293" s="46"/>
      <c r="AN293" s="46"/>
      <c r="AO293" s="46"/>
      <c r="AP293" s="46"/>
      <c r="AQ293" s="46"/>
      <c r="AR293" s="46"/>
      <c r="AS293" s="46"/>
      <c r="AT293" s="46"/>
      <c r="AU293" s="46"/>
      <c r="AV293" s="46"/>
      <c r="AW293" s="46"/>
      <c r="AX293" s="46"/>
      <c r="AY293" s="46"/>
      <c r="AZ293" s="46"/>
      <c r="BA293" s="46"/>
      <c r="BB293" s="46"/>
      <c r="BC293" s="46"/>
      <c r="BD293" s="46"/>
      <c r="BE293" s="46"/>
      <c r="BF293" s="46"/>
      <c r="BG293" s="46"/>
      <c r="BH293" s="21"/>
    </row>
    <row r="294" spans="2:60" ht="15.6" x14ac:dyDescent="0.3">
      <c r="B294" s="68"/>
      <c r="C294" s="78"/>
      <c r="D294" s="83" t="s">
        <v>278</v>
      </c>
      <c r="E294" s="56">
        <f ca="1">MAX(H294:BG294)</f>
        <v>0</v>
      </c>
      <c r="F294" s="116"/>
      <c r="H294" s="47"/>
      <c r="I294" s="48"/>
      <c r="J294" s="48"/>
      <c r="K294" s="48"/>
      <c r="L294" s="44"/>
      <c r="M294" s="44"/>
      <c r="N294" s="44"/>
      <c r="O294" s="44"/>
      <c r="P294" s="44"/>
      <c r="Q294" s="44"/>
      <c r="R294" s="44"/>
      <c r="S294" s="44"/>
      <c r="T294" s="44"/>
      <c r="U294" s="44"/>
      <c r="V294" s="44"/>
      <c r="W294" s="44"/>
      <c r="X294" s="44"/>
      <c r="Y294" s="44"/>
      <c r="Z294" s="44"/>
      <c r="AA294" s="44"/>
      <c r="AB294" s="44"/>
      <c r="AC294" s="44"/>
      <c r="AD294" s="44" t="str">
        <f>IF(SUM(H291:BG291) = AD293, " 0 ", " ")</f>
        <v xml:space="preserve"> </v>
      </c>
      <c r="AE294" s="44" t="str">
        <f ca="1">IF(AE9&gt;WEEKNUM(TODAY())," ", IF(AND(AE10="x",SUM($AD293:AE293)&gt;$AD291),H9-(SUM($AD293:AE293)/SUM($AD291:$BG291)),IF(SUM($AD293:AE293)&gt;=$AD291," ",H9-(SUM($AD293:AE293)/(SUM($AD291:$BG291))))))</f>
        <v xml:space="preserve"> </v>
      </c>
      <c r="AF294" s="44" t="str">
        <f ca="1">IF(AF9&gt;WEEKNUM(TODAY())," ", IF(AND(AF10="x",SUM($AD293:AF293)&gt;$AD291),I9-(SUM($AD293:AF293)/SUM($AD291:$BG291)),IF(SUM($AD293:AF293)&gt;=$AD291," ",I9-(SUM($AD293:AF293)/(SUM($AD291:$BG291))))))</f>
        <v xml:space="preserve"> </v>
      </c>
      <c r="AG294" s="44" t="str">
        <f ca="1">IF(AG9&gt;WEEKNUM(TODAY())," ", IF(AND(AG10="x",SUM($AD293:AG293)&gt;$AD291),J9-(SUM($AD293:AG293)/SUM($AD291:$BG291)),IF(SUM($AD293:AG293)&gt;=$AD291," ",J9-(SUM($AD293:AG293)/(SUM($AD291:$BG291))))))</f>
        <v xml:space="preserve"> </v>
      </c>
      <c r="AH294" s="44" t="str">
        <f ca="1">IF(AH9&gt;WEEKNUM(TODAY())," ", IF(AND(AH10="x",SUM($AD293:AH293)&gt;$AD291),K9-(SUM($AD293:AH293)/SUM($AD291:$BG291)),IF(SUM($AD293:AH293)&gt;=$AD291," ",K9-(SUM($AD293:AH293)/(SUM($AD291:$BG291))))))</f>
        <v xml:space="preserve"> </v>
      </c>
      <c r="AI294" s="44" t="str">
        <f ca="1">IF(AI9&gt;WEEKNUM(TODAY())," ", IF(AND(AI10="x",SUM($AD293:AI293)&gt;$AD291),L9-(SUM($AD293:AI293)/SUM($AD291:$BG291)),IF(SUM($AD293:AI293)&gt;=$AD291," ",L9-(SUM($AD293:AI293)/(SUM($AD291:$BG291))))))</f>
        <v xml:space="preserve"> </v>
      </c>
      <c r="AJ294" s="44" t="str">
        <f ca="1">IF(AJ9&gt;WEEKNUM(TODAY())," ", IF(AND(AJ10="x",SUM($AD293:AJ293)&gt;$AD291),M9-(SUM($AD293:AJ293)/SUM($AD291:$BG291)),IF(SUM($AD293:AJ293)&gt;=$AD291," ",M9-(SUM($AD293:AJ293)/(SUM($AD291:$BG291))))))</f>
        <v xml:space="preserve"> </v>
      </c>
      <c r="AK294" s="44" t="str">
        <f ca="1">IF(AK9&gt;WEEKNUM(TODAY())," ", IF(AND(AK10="x",SUM($AD293:AK293)&gt;$AD291),N9-(SUM($AD293:AK293)/SUM($AD291:$BG291)),IF(SUM($AD293:AK293)&gt;=$AD291," ",N9-(SUM($AD293:AK293)/(SUM($AD291:$BG291))))))</f>
        <v xml:space="preserve"> </v>
      </c>
      <c r="AL294" s="44" t="str">
        <f ca="1">IF(AL9&gt;WEEKNUM(TODAY())," ", IF(AND(AL10="x",SUM($AD293:AL293)&gt;$AD291),O9-(SUM($AD293:AL293)/SUM($AD291:$BG291)),IF(SUM($AD293:AL293)&gt;=$AD291," ",O9-(SUM($AD293:AL293)/(SUM($AD291:$BG291))))))</f>
        <v xml:space="preserve"> </v>
      </c>
      <c r="AM294" s="44" t="str">
        <f ca="1">IF(AM9&gt;WEEKNUM(TODAY())," ", IF(AND(AM10="x",SUM($AD293:AM293)&gt;$AD291),P9-(SUM($AD293:AM293)/SUM($AD291:$BG291)),IF(SUM($AD293:AM293)&gt;=$AD291," ",P9-(SUM($AD293:AM293)/(SUM($AD291:$BG291))))))</f>
        <v xml:space="preserve"> </v>
      </c>
      <c r="AN294" s="44" t="str">
        <f ca="1">IF(AN9&gt;WEEKNUM(TODAY())," ", IF(AND(AN10="x",SUM($AD293:AN293)&gt;$AD291),Q9-(SUM($AD293:AN293)/SUM($AD291:$BG291)),IF(SUM($AD293:AN293)&gt;=$AD291," ",Q9-(SUM($AD293:AN293)/(SUM($AD291:$BG291))))))</f>
        <v xml:space="preserve"> </v>
      </c>
      <c r="AO294" s="44" t="str">
        <f ca="1">IF(AO9&gt;WEEKNUM(TODAY())," ", IF(AND(AO10="x",SUM($AD293:AO293)&gt;$AD291),R9-(SUM($AD293:AO293)/SUM($AD291:$BG291)),IF(SUM($AD293:AO293)&gt;=$AD291," ",R9-(SUM($AD293:AO293)/(SUM($AD291:$BG291))))))</f>
        <v xml:space="preserve"> </v>
      </c>
      <c r="AP294" s="44" t="str">
        <f ca="1">IF(AP9&gt;WEEKNUM(TODAY())," ", IF(AND(AP10="x",SUM($AD293:AP293)&gt;$AD291),S9-(SUM($AD293:AP293)/SUM($AD291:$BG291)),IF(SUM($AD293:AP293)&gt;=$AD291," ",S9-(SUM($AD293:AP293)/(SUM($AD291:$BG291))))))</f>
        <v xml:space="preserve"> </v>
      </c>
      <c r="AQ294" s="44" t="str">
        <f ca="1">IF(AQ9&gt;WEEKNUM(TODAY())," ", IF(AND(AQ10="x",SUM($AD293:AQ293)&gt;$AD291),T9-(SUM($AD293:AQ293)/SUM($AD291:$BG291)),IF(SUM($AD293:AQ293)&gt;=$AD291," ",T9-(SUM($AD293:AQ293)/(SUM($AD291:$BG291))))))</f>
        <v xml:space="preserve"> </v>
      </c>
      <c r="AR294" s="44" t="str">
        <f ca="1">IF(AR9&gt;WEEKNUM(TODAY())," ", IF(AND(AR10="x",SUM($AD293:AR293)&gt;$AD291),U9-(SUM($AD293:AR293)/SUM($AD291:$BG291)),IF(SUM($AD293:AR293)&gt;=$AD291," ",U9-(SUM($AD293:AR293)/(SUM($AD291:$BG291))))))</f>
        <v xml:space="preserve"> </v>
      </c>
      <c r="AS294" s="44" t="str">
        <f ca="1">IF(AS9&gt;WEEKNUM(TODAY())," ", IF(AND(AS10="x",SUM($AD293:AS293)&gt;$AD291),V9-(SUM($AD293:AS293)/SUM($AD291:$BG291)),IF(SUM($AD293:AS293)&gt;=$AD291," ",V9-(SUM($AD293:AS293)/(SUM($AD291:$BG291))))))</f>
        <v xml:space="preserve"> </v>
      </c>
      <c r="AT294" s="44" t="str">
        <f ca="1">IF(AT9&gt;WEEKNUM(TODAY())," ", IF(AND(AT10="x",SUM($AD293:AT293)&gt;$AD291),W9-(SUM($AD293:AT293)/SUM($AD291:$BG291)),IF(SUM($AD293:AT293)&gt;=$AD291," ",W9-(SUM($AD293:AT293)/(SUM($AD291:$BG291))))))</f>
        <v xml:space="preserve"> </v>
      </c>
      <c r="AU294" s="44" t="str">
        <f ca="1">IF(AU9&gt;WEEKNUM(TODAY())," ", IF(AND(AU10="x",SUM($AD293:AU293)&gt;$AD291),X9-(SUM($AD293:AU293)/SUM($AD291:$BG291)),IF(SUM($AD293:AU293)&gt;=$AD291," ",X9-(SUM($AD293:AU293)/(SUM($AD291:$BG291))))))</f>
        <v xml:space="preserve"> </v>
      </c>
      <c r="AV294" s="44" t="str">
        <f ca="1">IF(AV9&gt;WEEKNUM(TODAY())," ", IF(AND(AV10="x",SUM($AD293:AV293)&gt;$AD291),Y9-(SUM($AD293:AV293)/SUM($AD291:$BG291)),IF(SUM($AD293:AV293)&gt;=$AD291," ",Y9-(SUM($AD293:AV293)/(SUM($AD291:$BG291))))))</f>
        <v xml:space="preserve"> </v>
      </c>
      <c r="AW294" s="44" t="str">
        <f ca="1">IF(AW9&gt;WEEKNUM(TODAY())," ", IF(AND(AW10="x",SUM($AD293:AW293)&gt;$AD291),Z9-(SUM($AD293:AW293)/SUM($AD291:$BG291)),IF(SUM($AD293:AW293)&gt;=$AD291," ",Z9-(SUM($AD293:AW293)/(SUM($AD291:$BG291))))))</f>
        <v xml:space="preserve"> </v>
      </c>
      <c r="AX294" s="44" t="str">
        <f ca="1">IF(AX9&gt;WEEKNUM(TODAY())," ", IF(AND(AX10="x",SUM($AD293:AX293)&gt;$AD291),AA9-(SUM($AD293:AX293)/SUM($AD291:$BG291)),IF(SUM($AD293:AX293)&gt;=$AD291," ",AA9-(SUM($AD293:AX293)/(SUM($AD291:$BG291))))))</f>
        <v xml:space="preserve"> </v>
      </c>
      <c r="AY294" s="44" t="str">
        <f ca="1">IF(AY9&gt;WEEKNUM(TODAY())," ", IF(AND(AY10="x",SUM($AD293:AY293)&gt;$AD291),AB9-(SUM($AD293:AY293)/SUM($AD291:$BG291)),IF(SUM($AD293:AY293)&gt;=$AD291," ",AB9-(SUM($AD293:AY293)/(SUM($AD291:$BG291))))))</f>
        <v xml:space="preserve"> </v>
      </c>
      <c r="AZ294" s="44" t="str">
        <f ca="1">IF(AZ9&gt;WEEKNUM(TODAY())," ", IF(AND(AZ10="x",SUM($AD293:AZ293)&gt;$AD291),AC9-(SUM($AD293:AZ293)/SUM($AD291:$BG291)),IF(SUM($AD293:AZ293)&gt;=$AD291," ",AC9-(SUM($AD293:AZ293)/(SUM($AD291:$BG291))))))</f>
        <v xml:space="preserve"> </v>
      </c>
      <c r="BA294" s="44" t="str">
        <f ca="1">IF(BA9&gt;WEEKNUM(TODAY())," ", IF(AND(BA10="x",SUM($AD293:BA293)&gt;$AD291),AD9-(SUM($AD293:BA293)/SUM($AD291:$BG291)),IF(SUM($AD293:BA293)&gt;=$AD291," ",AD9-(SUM($AD293:BA293)/(SUM($AD291:$BG291))))))</f>
        <v xml:space="preserve"> </v>
      </c>
      <c r="BB294" s="44" t="str">
        <f ca="1">IF(BB9&gt;WEEKNUM(TODAY())," ", IF(AND(BB10="x",SUM($AD293:BB293)&gt;$AD291),AE9-(SUM($AD293:BB293)/SUM($AD291:$BG291)),IF(SUM($AD293:BB293)&gt;=$AD291," ",AE9-(SUM($AD293:BB293)/(SUM($AD291:$BG291))))))</f>
        <v xml:space="preserve"> </v>
      </c>
      <c r="BC294" s="44" t="str">
        <f ca="1">IF(BC9&gt;WEEKNUM(TODAY())," ", IF(AND(BC10="x",SUM($AD293:BC293)&gt;$AD291),AF9-(SUM($AD293:BC293)/SUM($AD291:$BG291)),IF(SUM($AD293:BC293)&gt;=$AD291," ",AF9-(SUM($AD293:BC293)/(SUM($AD291:$BG291))))))</f>
        <v xml:space="preserve"> </v>
      </c>
      <c r="BD294" s="44" t="str">
        <f ca="1">IF(BD9&gt;WEEKNUM(TODAY())," ", IF(AND(BD10="x",SUM($AD293:BD293)&gt;$AD291),AG9-(SUM($AD293:BD293)/SUM($AD291:$BG291)),IF(SUM($AD293:BD293)&gt;=$AD291," ",AG9-(SUM($AD293:BD293)/(SUM($AD291:$BG291))))))</f>
        <v xml:space="preserve"> </v>
      </c>
      <c r="BE294" s="44" t="str">
        <f ca="1">IF(BE9&gt;WEEKNUM(TODAY())," ", IF(AND(BE10="x",SUM($AD293:BE293)&gt;$AD291),AH9-(SUM($AD293:BE293)/SUM($AD291:$BG291)),IF(SUM($AD293:BE293)&gt;=$AD291," ",AH9-(SUM($AD293:BE293)/(SUM($AD291:$BG291))))))</f>
        <v xml:space="preserve"> </v>
      </c>
      <c r="BF294" s="44" t="str">
        <f ca="1">IF(BF9&gt;WEEKNUM(TODAY())," ", IF(AND(BF10="x",SUM($AD293:BF293)&gt;$AD291),AI9-(SUM($AD293:BF293)/SUM($AD291:$BG291)),IF(SUM($AD293:BF293)&gt;=$AD291," ",AI9-(SUM($AD293:BF293)/(SUM($AD291:$BG291))))))</f>
        <v xml:space="preserve"> </v>
      </c>
      <c r="BG294" s="44" t="str">
        <f ca="1">IF(BG9&gt;WEEKNUM(TODAY())," ", IF(AND(BG10="x",SUM($AD293:BG293)&gt;$AD291),AJ9-(SUM($AD293:BG293)/SUM($AD291:$BG291)),IF(SUM($AD293:BG293)&gt;=$AD291," ",AJ9-(SUM($AD293:BG293)/(SUM($AD291:$BG291))))))</f>
        <v xml:space="preserve"> </v>
      </c>
      <c r="BH294" s="21"/>
    </row>
    <row r="295" spans="2:60" ht="16.2" thickBot="1" x14ac:dyDescent="0.35">
      <c r="B295" s="70"/>
      <c r="C295" s="79"/>
      <c r="D295" s="84"/>
      <c r="E295" s="57"/>
      <c r="F295" s="117"/>
      <c r="H295" s="49" t="str">
        <f>IF(H291= " ", " ",IF(H293&gt;SUM($H291:$BG291), " N/A", IF(SUM($H293:$BG293)=SUM($H291:BG291), " ", IF(H293=SUM($H291:BG291), " ", "x"))))</f>
        <v xml:space="preserve"> </v>
      </c>
      <c r="I295" s="50" t="str">
        <f>IF(SUM($H293:I293) &gt; SUM($H291:I291),  " N/A", IF(SUM($H293:$BG293) = SUM($H291:$BH291),    " ",IF(I293 = SUM($H291:$BH291),  " ",   "x")))</f>
        <v xml:space="preserve"> </v>
      </c>
      <c r="J295" s="50" t="str">
        <f>IF(SUM($H293:J293) &gt; SUM($H291:J291),  " N/A", IF(SUM($H293:$BG293) = SUM($H291:$BH291),    " ",IF(J293 = SUM($H291:$BH291),  " ",   "x")))</f>
        <v xml:space="preserve"> </v>
      </c>
      <c r="K295" s="50" t="str">
        <f>IF(SUM($H293:K293) &gt; SUM($H291:K291),  " N/A", IF(SUM($H293:$BG293) = SUM($H291:$BH291),    " ",IF(K293 = SUM($H291:$BH291),  " ",   "x")))</f>
        <v xml:space="preserve"> </v>
      </c>
      <c r="L295" s="50" t="str">
        <f>IF(SUM($H293:L293) &gt; SUM($H291:L291),  " N/A", IF(SUM($H293:$BG293) = SUM($H291:$BH291),    " ",IF(L293 = SUM($H291:$BH291),  " ",   "x")))</f>
        <v xml:space="preserve"> </v>
      </c>
      <c r="M295" s="50" t="str">
        <f>IF(SUM($H293:M293) &gt; SUM($H291:M291),  " N/A", IF(SUM($H293:$BG293) = SUM($H291:$BH291),    " ",IF(M293 = SUM($H291:$BH291),  " ",   "x")))</f>
        <v xml:space="preserve"> </v>
      </c>
      <c r="N295" s="50" t="str">
        <f>IF(SUM($H293:N293) &gt; SUM($H291:N291),  " N/A", IF(SUM($H293:$BG293) = SUM($H291:$BH291),    " ",IF(N293 = SUM($H291:$BH291),  " ",   "x")))</f>
        <v xml:space="preserve"> </v>
      </c>
      <c r="O295" s="50" t="str">
        <f>IF(SUM($H293:O293) &gt; SUM($H291:O291),  " N/A", IF(SUM($H293:$BG293) = SUM($H291:$BH291),    " ",IF(O293 = SUM($H291:$BH291),  " ",   "x")))</f>
        <v xml:space="preserve"> </v>
      </c>
      <c r="P295" s="50" t="str">
        <f>IF(SUM($H293:P293) &gt; SUM($H291:P291),  " N/A", IF(SUM($H293:$BG293) = SUM($H291:$BH291),    " ",IF(P293 = SUM($H291:$BH291),  " ",   "x")))</f>
        <v xml:space="preserve"> </v>
      </c>
      <c r="Q295" s="50" t="str">
        <f>IF(SUM($H293:Q293) &gt; SUM($H291:Q291),  " N/A", IF(SUM($H293:$BG293) = SUM($H291:$BH291),    " ",IF(Q293 = SUM($H291:$BH291),  " ",   "x")))</f>
        <v xml:space="preserve"> </v>
      </c>
      <c r="R295" s="50" t="str">
        <f>IF(SUM($H293:R293) &gt; SUM($H291:R291),  " N/A", IF(SUM($H293:$BG293) = SUM($H291:$BH291),    " ",IF(R293 = SUM($H291:$BH291),  " ",   "x")))</f>
        <v xml:space="preserve"> </v>
      </c>
      <c r="S295" s="50" t="str">
        <f>IF(SUM($H293:S293) &gt; SUM($H291:S291),  " N/A", IF(SUM($H293:$BG293) = SUM($H291:$BH291),    " ",IF(S293 = SUM($H291:$BH291),  " ",   "x")))</f>
        <v xml:space="preserve"> </v>
      </c>
      <c r="T295" s="50" t="str">
        <f>IF(SUM($H293:T293) &gt; SUM($H291:T291),  " N/A", IF(SUM($H293:$BG293) = SUM($H291:$BH291),    " ",IF(T293 = SUM($H291:$BH291),  " ",   "x")))</f>
        <v xml:space="preserve"> </v>
      </c>
      <c r="U295" s="50" t="str">
        <f>IF(SUM($H293:U293) &gt; SUM($H291:U291),  " N/A", IF(SUM($H293:$BG293) = SUM($H291:$BH291),    " ",IF(U293 = SUM($H291:$BH291),  " ",   "x")))</f>
        <v xml:space="preserve"> </v>
      </c>
      <c r="V295" s="50" t="str">
        <f>IF(SUM($H293:V293) &gt; SUM($H291:V291),  " N/A", IF(SUM($H293:$BG293) = SUM($H291:$BH291),    " ",IF(V293 = SUM($H291:$BH291),  " ",   "x")))</f>
        <v xml:space="preserve"> </v>
      </c>
      <c r="W295" s="50" t="str">
        <f>IF(SUM($H293:W293) &gt; SUM($H291:W291),  " N/A", IF(SUM($H293:$BG293) = SUM($H291:$BH291),    " ",IF(W293 = SUM($H291:$BH291),  " ",   "x")))</f>
        <v xml:space="preserve"> </v>
      </c>
      <c r="X295" s="50" t="str">
        <f>IF(SUM($H293:X293) &gt; SUM($H291:X291),  " N/A", IF(SUM($H293:$BG293) = SUM($H291:$BH291),    " ",IF(X293 = SUM($H291:$BH291),  " ",   "x")))</f>
        <v xml:space="preserve"> </v>
      </c>
      <c r="Y295" s="50" t="str">
        <f>IF(SUM($H293:Y293) &gt; SUM($H291:Y291),  " N/A", IF(SUM($H293:$BG293) = SUM($H291:$BH291),    " ",IF(Y293 = SUM($H291:$BH291),  " ",   "x")))</f>
        <v xml:space="preserve"> </v>
      </c>
      <c r="Z295" s="50" t="str">
        <f>IF(SUM($H293:Z293) &gt; SUM($H291:Z291),  " N/A", IF(SUM($H293:$BG293) = SUM($H291:$BH291),    " ",IF(Z293 = SUM($H291:$BH291),  " ",   "x")))</f>
        <v xml:space="preserve"> </v>
      </c>
      <c r="AA295" s="50" t="str">
        <f>IF(SUM($H293:AA293) &gt; SUM($H291:AA291),  " N/A", IF(SUM($H293:$BG293) = SUM($H291:$BH291),    " ",IF(AA293 = SUM($H291:$BH291),  " ",   "x")))</f>
        <v xml:space="preserve"> </v>
      </c>
      <c r="AB295" s="50" t="str">
        <f>IF(SUM($H293:AB293) &gt; SUM($H291:AB291),  " N/A", IF(SUM($H293:$BG293) = SUM($H291:$BH291),    " ",IF(AB293 = SUM($H291:$BH291),  " ",   "x")))</f>
        <v xml:space="preserve"> </v>
      </c>
      <c r="AC295" s="50" t="str">
        <f>IF(SUM($H293:AC293) &gt; SUM($H291:AC291),  " N/A", IF(SUM($H293:$BG293) = SUM($H291:$BH291),    " ",IF(AC293 = SUM($H291:$BH291),  " ",   "x")))</f>
        <v xml:space="preserve"> </v>
      </c>
      <c r="AD295" s="50" t="str">
        <f>IF(SUM($H293:AD293) &gt; SUM($H291:AD291),  " N/A", IF(SUM($H293:$BG293) = SUM($H291:$BH291),    " ",IF(AD293 = SUM($H291:$BH291),  " ",   "x")))</f>
        <v xml:space="preserve"> </v>
      </c>
      <c r="AE295" s="50" t="str">
        <f>IF(SUM($H293:AE293) &gt; SUM($H291:AE291),  " N/A", IF(SUM($H293:$BG293) = SUM($H291:$BH291),    " ",IF(AE293 = SUM($H291:$BH291),  " ",   "x")))</f>
        <v xml:space="preserve"> </v>
      </c>
      <c r="AF295" s="50" t="str">
        <f>IF(SUM($H293:AF293) &gt; SUM($H291:AF291),  " N/A", IF(SUM($H293:$BG293) = SUM($H291:$BH291),    " ",IF(AF293 = SUM($H291:$BH291),  " ",   "x")))</f>
        <v xml:space="preserve"> </v>
      </c>
      <c r="AG295" s="50" t="str">
        <f>IF(SUM($H293:AG293) &gt; SUM($H291:AG291),  " N/A", IF(SUM($H293:$BG293) = SUM($H291:$BH291),    " ",IF(AG293 = SUM($H291:$BH291),  " ",   "x")))</f>
        <v xml:space="preserve"> </v>
      </c>
      <c r="AH295" s="50" t="str">
        <f>IF(SUM($H293:AH293) &gt; SUM($H291:AH291),  " N/A", IF(SUM($H293:$BG293) = SUM($H291:$BH291),    " ",IF(AH293 = SUM($H291:$BH291),  " ",   "x")))</f>
        <v xml:space="preserve"> </v>
      </c>
      <c r="AI295" s="50" t="str">
        <f>IF(SUM($H293:AI293) &gt; SUM($H291:AI291),  " N/A", IF(SUM($H293:$BG293) = SUM($H291:$BH291),    " ",IF(AI293 = SUM($H291:$BH291),  " ",   "x")))</f>
        <v xml:space="preserve"> </v>
      </c>
      <c r="AJ295" s="50" t="str">
        <f>IF(SUM($H293:AJ293) &gt; SUM($H291:AJ291),  " N/A", IF(SUM($H293:$BG293) = SUM($H291:$BH291),    " ",IF(AJ293 = SUM($H291:$BH291),  " ",   "x")))</f>
        <v xml:space="preserve"> </v>
      </c>
      <c r="AK295" s="50" t="str">
        <f>IF(SUM($H293:AK293) &gt; SUM($H291:AK291),  " N/A", IF(SUM($H293:$BG293) = SUM($H291:$BH291),    " ",IF(AK293 = SUM($H291:$BH291),  " ",   "x")))</f>
        <v xml:space="preserve"> </v>
      </c>
      <c r="AL295" s="50" t="str">
        <f>IF(SUM($H293:AL293) &gt; SUM($H291:AL291),  " N/A", IF(SUM($H293:$BG293) = SUM($H291:$BH291),    " ",IF(AL293 = SUM($H291:$BH291),  " ",   "x")))</f>
        <v xml:space="preserve"> </v>
      </c>
      <c r="AM295" s="50" t="str">
        <f>IF(SUM($H293:AM293) &gt; SUM($H291:AM291),  " N/A", IF(SUM($H293:$BG293) = SUM($H291:$BH291),    " ",IF(AM293 = SUM($H291:$BH291),  " ",   "x")))</f>
        <v xml:space="preserve"> </v>
      </c>
      <c r="AN295" s="50" t="str">
        <f>IF(SUM($H293:AN293) &gt; SUM($H291:AN291),  " N/A", IF(SUM($H293:$BG293) = SUM($H291:$BH291),    " ",IF(AN293 = SUM($H291:$BH291),  " ",   "x")))</f>
        <v xml:space="preserve"> </v>
      </c>
      <c r="AO295" s="50" t="str">
        <f>IF(SUM($H293:AO293) &gt; SUM($H291:AO291),  " N/A", IF(SUM($H293:$BG293) = SUM($H291:$BH291),    " ",IF(AO293 = SUM($H291:$BH291),  " ",   "x")))</f>
        <v xml:space="preserve"> </v>
      </c>
      <c r="AP295" s="50" t="str">
        <f>IF(SUM($H293:AP293) &gt; SUM($H291:AP291),  " N/A", IF(SUM($H293:$BG293) = SUM($H291:$BH291),    " ",IF(AP293 = SUM($H291:$BH291),  " ",   "x")))</f>
        <v xml:space="preserve"> </v>
      </c>
      <c r="AQ295" s="50" t="str">
        <f>IF(SUM($H293:AQ293) &gt; SUM($H291:AQ291),  " N/A", IF(SUM($H293:$BG293) = SUM($H291:$BH291),    " ",IF(AQ293 = SUM($H291:$BH291),  " ",   "x")))</f>
        <v xml:space="preserve"> </v>
      </c>
      <c r="AR295" s="50" t="str">
        <f>IF(SUM($H293:AR293) &gt; SUM($H291:AR291),  " N/A", IF(SUM($H293:$BG293) = SUM($H291:$BH291),    " ",IF(AR293 = SUM($H291:$BH291),  " ",   "x")))</f>
        <v xml:space="preserve"> </v>
      </c>
      <c r="AS295" s="50" t="str">
        <f>IF(SUM($H293:AS293) &gt; SUM($H291:AS291),  " N/A", IF(SUM($H293:$BG293) = SUM($H291:$BH291),    " ",IF(AS293 = SUM($H291:$BH291),  " ",   "x")))</f>
        <v xml:space="preserve"> </v>
      </c>
      <c r="AT295" s="50" t="str">
        <f>IF(SUM($H293:AT293) &gt; SUM($H291:AT291),  " N/A", IF(SUM($H293:$BG293) = SUM($H291:$BH291),    " ",IF(AT293 = SUM($H291:$BH291),  " ",   "x")))</f>
        <v xml:space="preserve"> </v>
      </c>
      <c r="AU295" s="50" t="str">
        <f>IF(SUM($H293:AU293) &gt; SUM($H291:AU291),  " N/A", IF(SUM($H293:$BG293) = SUM($H291:$BH291),    " ",IF(AU293 = SUM($H291:$BH291),  " ",   "x")))</f>
        <v xml:space="preserve"> </v>
      </c>
      <c r="AV295" s="50" t="str">
        <f>IF(SUM($H293:AV293) &gt; SUM($H291:AV291),  " N/A", IF(SUM($H293:$BG293) = SUM($H291:$BH291),    " ",IF(AV293 = SUM($H291:$BH291),  " ",   "x")))</f>
        <v xml:space="preserve"> </v>
      </c>
      <c r="AW295" s="50" t="str">
        <f>IF(SUM($H293:AW293) &gt; SUM($H291:AW291),  " N/A", IF(SUM($H293:$BG293) = SUM($H291:$BH291),    " ",IF(AW293 = SUM($H291:$BH291),  " ",   "x")))</f>
        <v xml:space="preserve"> </v>
      </c>
      <c r="AX295" s="50" t="str">
        <f>IF(SUM($H293:AX293) &gt; SUM($H291:AX291),  " N/A", IF(SUM($H293:$BG293) = SUM($H291:$BH291),    " ",IF(AX293 = SUM($H291:$BH291),  " ",   "x")))</f>
        <v xml:space="preserve"> </v>
      </c>
      <c r="AY295" s="50" t="str">
        <f>IF(SUM($H293:AY293) &gt; SUM($H291:AY291),  " N/A", IF(SUM($H293:$BG293) = SUM($H291:$BH291),    " ",IF(AY293 = SUM($H291:$BH291),  " ",   "x")))</f>
        <v xml:space="preserve"> </v>
      </c>
      <c r="AZ295" s="50" t="str">
        <f>IF(SUM($H293:AZ293) &gt; SUM($H291:AZ291),  " N/A", IF(SUM($H293:$BG293) = SUM($H291:$BH291),    " ",IF(AZ293 = SUM($H291:$BH291),  " ",   "x")))</f>
        <v xml:space="preserve"> </v>
      </c>
      <c r="BA295" s="50" t="str">
        <f>IF(SUM($H293:BA293) &gt; SUM($H291:BA291),  " N/A", IF(SUM($H293:$BG293) = SUM($H291:$BH291),    " ",IF(BA293 = SUM($H291:$BH291),  " ",   "x")))</f>
        <v xml:space="preserve"> </v>
      </c>
      <c r="BB295" s="50" t="str">
        <f>IF(SUM($H293:BB293) &gt; SUM($H291:BB291),  " N/A", IF(SUM($H293:$BG293) = SUM($H291:$BH291),    " ",IF(BB293 = SUM($H291:$BH291),  " ",   "x")))</f>
        <v xml:space="preserve"> </v>
      </c>
      <c r="BC295" s="50" t="str">
        <f>IF(SUM($H293:BC293) &gt; SUM($H291:BC291),  " N/A", IF(SUM($H293:$BG293) = SUM($H291:$BH291),    " ",IF(BC293 = SUM($H291:$BH291),  " ",   "x")))</f>
        <v xml:space="preserve"> </v>
      </c>
      <c r="BD295" s="50" t="str">
        <f>IF(SUM($H293:BD293) &gt; SUM($H291:BD291),  " N/A", IF(SUM($H293:$BG293) = SUM($H291:$BH291),    " ",IF(BD293 = SUM($H291:$BH291),  " ",   "x")))</f>
        <v xml:space="preserve"> </v>
      </c>
      <c r="BE295" s="50" t="str">
        <f>IF(SUM($H293:BE293) &gt; SUM($H291:BE291),  " N/A", IF(SUM($H293:$BG293) = SUM($H291:$BH291),    " ",IF(BE293 = SUM($H291:$BH291),  " ",   "x")))</f>
        <v xml:space="preserve"> </v>
      </c>
      <c r="BF295" s="50" t="str">
        <f>IF(SUM($H293:BF293) &gt; SUM($H291:BF291),  " N/A", IF(SUM($H293:$BG293) = SUM($H291:$BH291),    " ",IF(BF293 = SUM($H291:$BH291),  " ",   "x")))</f>
        <v xml:space="preserve"> </v>
      </c>
      <c r="BG295" s="50" t="str">
        <f>IF(SUM($H293:BG293) &gt; SUM($H291:BG291),  " N/A", IF(SUM($H293:$BG293) = SUM($H291:$BH291),    " ",IF(BG293 = SUM($H291:$BH291),  " ",   "x")))</f>
        <v xml:space="preserve"> </v>
      </c>
      <c r="BH295" s="21"/>
    </row>
    <row r="296" spans="2:60" ht="15.6" x14ac:dyDescent="0.3">
      <c r="B296" s="71"/>
      <c r="C296" s="77"/>
      <c r="D296" s="82" t="s">
        <v>249</v>
      </c>
      <c r="E296" s="54">
        <f>SUM(H296:BG296)</f>
        <v>16</v>
      </c>
      <c r="F296" s="115">
        <f>Gant_24!$E296-E298</f>
        <v>0</v>
      </c>
      <c r="H296" s="41"/>
      <c r="I296" s="42"/>
      <c r="J296" s="42"/>
      <c r="K296" s="42"/>
      <c r="L296" s="51"/>
      <c r="M296" s="51"/>
      <c r="N296" s="51"/>
      <c r="O296" s="51"/>
      <c r="P296" s="51"/>
      <c r="Q296" s="51"/>
      <c r="R296" s="51"/>
      <c r="S296" s="51"/>
      <c r="T296" s="51"/>
      <c r="U296" s="42"/>
      <c r="V296" s="51"/>
      <c r="W296" s="51"/>
      <c r="X296" s="51"/>
      <c r="Y296" s="51"/>
      <c r="Z296" s="51"/>
      <c r="AA296" s="51"/>
      <c r="AB296" s="51">
        <v>16</v>
      </c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  <c r="BC296" s="51"/>
      <c r="BD296" s="51"/>
      <c r="BE296" s="51"/>
      <c r="BF296" s="51"/>
      <c r="BG296" s="51"/>
      <c r="BH296" s="21"/>
    </row>
    <row r="297" spans="2:60" ht="15.6" x14ac:dyDescent="0.3">
      <c r="B297" s="68"/>
      <c r="C297" s="78"/>
      <c r="D297" s="83" t="s">
        <v>261</v>
      </c>
      <c r="E297" s="55">
        <f>SUM(H297:BG297)</f>
        <v>0</v>
      </c>
      <c r="F297" s="116"/>
      <c r="H297" s="43"/>
      <c r="I297" s="44"/>
      <c r="J297" s="44"/>
      <c r="K297" s="44"/>
      <c r="L297" s="50"/>
      <c r="M297" s="50"/>
      <c r="N297" s="50"/>
      <c r="O297" s="50"/>
      <c r="P297" s="50"/>
      <c r="Q297" s="50"/>
      <c r="R297" s="50"/>
      <c r="S297" s="50"/>
      <c r="T297" s="50"/>
      <c r="U297" s="44"/>
      <c r="V297" s="50"/>
      <c r="W297" s="50"/>
      <c r="X297" s="50"/>
      <c r="Y297" s="50"/>
      <c r="Z297" s="50"/>
      <c r="AA297" s="50"/>
      <c r="AB297" s="50"/>
      <c r="AC297" s="50"/>
      <c r="AD297" s="50"/>
      <c r="AE297" s="50"/>
      <c r="AF297" s="50"/>
      <c r="AG297" s="50"/>
      <c r="AH297" s="50"/>
      <c r="AI297" s="50"/>
      <c r="AJ297" s="50"/>
      <c r="AK297" s="50"/>
      <c r="AL297" s="50"/>
      <c r="AM297" s="50"/>
      <c r="AN297" s="50"/>
      <c r="AO297" s="50"/>
      <c r="AP297" s="50"/>
      <c r="AQ297" s="50"/>
      <c r="AR297" s="50"/>
      <c r="AS297" s="50"/>
      <c r="AT297" s="50"/>
      <c r="AU297" s="50"/>
      <c r="AV297" s="50"/>
      <c r="AW297" s="50"/>
      <c r="AX297" s="50"/>
      <c r="AY297" s="50"/>
      <c r="AZ297" s="50"/>
      <c r="BA297" s="50"/>
      <c r="BB297" s="50"/>
      <c r="BC297" s="50"/>
      <c r="BD297" s="50"/>
      <c r="BE297" s="50"/>
      <c r="BF297" s="50"/>
      <c r="BG297" s="50"/>
      <c r="BH297" s="21"/>
    </row>
    <row r="298" spans="2:60" ht="15.6" x14ac:dyDescent="0.3">
      <c r="B298" s="68" t="s">
        <v>232</v>
      </c>
      <c r="C298" s="78" t="s">
        <v>233</v>
      </c>
      <c r="D298" s="83" t="s">
        <v>241</v>
      </c>
      <c r="E298" s="55">
        <f>SUM(H298:BG298)</f>
        <v>16</v>
      </c>
      <c r="F298" s="116"/>
      <c r="H298" s="45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>
        <v>16</v>
      </c>
      <c r="AF298" s="46"/>
      <c r="AG298" s="46"/>
      <c r="AH298" s="46"/>
      <c r="AI298" s="46"/>
      <c r="AJ298" s="46"/>
      <c r="AK298" s="46"/>
      <c r="AL298" s="46"/>
      <c r="AM298" s="46"/>
      <c r="AN298" s="46"/>
      <c r="AO298" s="46"/>
      <c r="AP298" s="46"/>
      <c r="AQ298" s="46"/>
      <c r="AR298" s="46"/>
      <c r="AS298" s="46"/>
      <c r="AT298" s="46"/>
      <c r="AU298" s="46"/>
      <c r="AV298" s="46"/>
      <c r="AW298" s="46"/>
      <c r="AX298" s="46"/>
      <c r="AY298" s="46"/>
      <c r="AZ298" s="46"/>
      <c r="BA298" s="46"/>
      <c r="BB298" s="46"/>
      <c r="BC298" s="46"/>
      <c r="BD298" s="46"/>
      <c r="BE298" s="46"/>
      <c r="BF298" s="46"/>
      <c r="BG298" s="46"/>
      <c r="BH298" s="21"/>
    </row>
    <row r="299" spans="2:60" ht="15.6" x14ac:dyDescent="0.3">
      <c r="B299" s="68"/>
      <c r="C299" s="78"/>
      <c r="D299" s="83" t="s">
        <v>278</v>
      </c>
      <c r="E299" s="56">
        <f ca="1">MAX(H299:BG299)</f>
        <v>0</v>
      </c>
      <c r="F299" s="116"/>
      <c r="H299" s="47"/>
      <c r="I299" s="48"/>
      <c r="J299" s="48"/>
      <c r="K299" s="48"/>
      <c r="L299" s="50"/>
      <c r="M299" s="50"/>
      <c r="N299" s="50"/>
      <c r="O299" s="50"/>
      <c r="P299" s="50"/>
      <c r="Q299" s="50"/>
      <c r="R299" s="50"/>
      <c r="S299" s="50"/>
      <c r="T299" s="50"/>
      <c r="U299" s="44"/>
      <c r="V299" s="50"/>
      <c r="W299" s="50"/>
      <c r="X299" s="50"/>
      <c r="Y299" s="50"/>
      <c r="Z299" s="50"/>
      <c r="AA299" s="44"/>
      <c r="AB299" s="44"/>
      <c r="AC299" s="44" t="str">
        <f ca="1">IF(AC9&gt;WEEKNUM(TODAY())," ", IF(AND(AC10="x",SUM($AB298:AC298)&gt;$AB296),H9-(SUM($AB298:AC298)/SUM($AB296:$BG296)),IF(SUM($AB298:AC298)&gt;=$AB296," ",H9-(SUM($AB298:AC298)/(SUM($AB296:$BG296))))))</f>
        <v xml:space="preserve"> </v>
      </c>
      <c r="AD299" s="44" t="str">
        <f ca="1">IF(AD9&gt;WEEKNUM(TODAY())," ", IF(AND(AD10="x",SUM($AB298:AD298)&gt;$AB296),I9-(SUM($AB298:AD298)/SUM($AB296:$BG296)),IF(SUM($AB298:AD298)&gt;=$AB296," ",I9-(SUM($AB298:AD298)/(SUM($AB296:$BG296))))))</f>
        <v xml:space="preserve"> </v>
      </c>
      <c r="AE299" s="44" t="str">
        <f ca="1">IF(AE9&gt;WEEKNUM(TODAY())," ", IF(AND(AE10="x",SUM($AB298:AE298)&gt;$AB296),J9-(SUM($AB298:AE298)/SUM($AB296:$BG296)),IF(SUM($AB298:AE298)&gt;=$AB296," ",J9-(SUM($AB298:AE298)/(SUM($AB296:$BG296))))))</f>
        <v xml:space="preserve"> </v>
      </c>
      <c r="AF299" s="44" t="str">
        <f ca="1">IF(AF9&gt;WEEKNUM(TODAY())," ", IF(AND(AF10="x",SUM($AB298:AF298)&gt;$AB296),K9-(SUM($AB298:AF298)/SUM($AB296:$BG296)),IF(SUM($AB298:AF298)&gt;=$AB296," ",K9-(SUM($AB298:AF298)/(SUM($AB296:$BG296))))))</f>
        <v xml:space="preserve"> </v>
      </c>
      <c r="AG299" s="44" t="str">
        <f ca="1">IF(AG9&gt;WEEKNUM(TODAY())," ", IF(AND(AG10="x",SUM($AB298:AG298)&gt;$AB296),L9-(SUM($AB298:AG298)/SUM($AB296:$BG296)),IF(SUM($AB298:AG298)&gt;=$AB296," ",L9-(SUM($AB298:AG298)/(SUM($AB296:$BG296))))))</f>
        <v xml:space="preserve"> </v>
      </c>
      <c r="AH299" s="44" t="str">
        <f ca="1">IF(AH9&gt;WEEKNUM(TODAY())," ", IF(AND(AH10="x",SUM($AB298:AH298)&gt;$AB296),M9-(SUM($AB298:AH298)/SUM($AB296:$BG296)),IF(SUM($AB298:AH298)&gt;=$AB296," ",M9-(SUM($AB298:AH298)/(SUM($AB296:$BG296))))))</f>
        <v xml:space="preserve"> </v>
      </c>
      <c r="AI299" s="44" t="str">
        <f ca="1">IF(AI9&gt;WEEKNUM(TODAY())," ", IF(AND(AI10="x",SUM($AB298:AI298)&gt;$AB296),N9-(SUM($AB298:AI298)/SUM($AB296:$BG296)),IF(SUM($AB298:AI298)&gt;=$AB296," ",N9-(SUM($AB298:AI298)/(SUM($AB296:$BG296))))))</f>
        <v xml:space="preserve"> </v>
      </c>
      <c r="AJ299" s="44" t="str">
        <f ca="1">IF(AJ9&gt;WEEKNUM(TODAY())," ", IF(AND(AJ10="x",SUM($AB298:AJ298)&gt;$AB296),O9-(SUM($AB298:AJ298)/SUM($AB296:$BG296)),IF(SUM($AB298:AJ298)&gt;=$AB296," ",O9-(SUM($AB298:AJ298)/(SUM($AB296:$BG296))))))</f>
        <v xml:space="preserve"> </v>
      </c>
      <c r="AK299" s="44" t="str">
        <f ca="1">IF(AK9&gt;WEEKNUM(TODAY())," ", IF(AND(AK10="x",SUM($AB298:AK298)&gt;$AB296),P9-(SUM($AB298:AK298)/SUM($AB296:$BG296)),IF(SUM($AB298:AK298)&gt;=$AB296," ",P9-(SUM($AB298:AK298)/(SUM($AB296:$BG296))))))</f>
        <v xml:space="preserve"> </v>
      </c>
      <c r="AL299" s="44" t="str">
        <f ca="1">IF(AL9&gt;WEEKNUM(TODAY())," ", IF(AND(AL10="x",SUM($AB298:AL298)&gt;$AB296),Q9-(SUM($AB298:AL298)/SUM($AB296:$BG296)),IF(SUM($AB298:AL298)&gt;=$AB296," ",Q9-(SUM($AB298:AL298)/(SUM($AB296:$BG296))))))</f>
        <v xml:space="preserve"> </v>
      </c>
      <c r="AM299" s="44" t="str">
        <f ca="1">IF(AM9&gt;WEEKNUM(TODAY())," ", IF(AND(AM10="x",SUM($AB298:AM298)&gt;$AB296),R9-(SUM($AB298:AM298)/SUM($AB296:$BG296)),IF(SUM($AB298:AM298)&gt;=$AB296," ",R9-(SUM($AB298:AM298)/(SUM($AB296:$BG296))))))</f>
        <v xml:space="preserve"> </v>
      </c>
      <c r="AN299" s="44" t="str">
        <f ca="1">IF(AN9&gt;WEEKNUM(TODAY())," ", IF(AND(AN10="x",SUM($AB298:AN298)&gt;$AB296),S9-(SUM($AB298:AN298)/SUM($AB296:$BG296)),IF(SUM($AB298:AN298)&gt;=$AB296," ",S9-(SUM($AB298:AN298)/(SUM($AB296:$BG296))))))</f>
        <v xml:space="preserve"> </v>
      </c>
      <c r="AO299" s="44" t="str">
        <f ca="1">IF(AO9&gt;WEEKNUM(TODAY())," ", IF(AND(AO10="x",SUM($AB298:AO298)&gt;$AB296),T9-(SUM($AB298:AO298)/SUM($AB296:$BG296)),IF(SUM($AB298:AO298)&gt;=$AB296," ",T9-(SUM($AB298:AO298)/(SUM($AB296:$BG296))))))</f>
        <v xml:space="preserve"> </v>
      </c>
      <c r="AP299" s="44" t="str">
        <f ca="1">IF(AP9&gt;WEEKNUM(TODAY())," ", IF(AND(AP10="x",SUM($AB298:AP298)&gt;$AB296),U9-(SUM($AB298:AP298)/SUM($AB296:$BG296)),IF(SUM($AB298:AP298)&gt;=$AB296," ",U9-(SUM($AB298:AP298)/(SUM($AB296:$BG296))))))</f>
        <v xml:space="preserve"> </v>
      </c>
      <c r="AQ299" s="44" t="str">
        <f ca="1">IF(AQ9&gt;WEEKNUM(TODAY())," ", IF(AND(AQ10="x",SUM($AB298:AQ298)&gt;$AB296),V9-(SUM($AB298:AQ298)/SUM($AB296:$BG296)),IF(SUM($AB298:AQ298)&gt;=$AB296," ",V9-(SUM($AB298:AQ298)/(SUM($AB296:$BG296))))))</f>
        <v xml:space="preserve"> </v>
      </c>
      <c r="AR299" s="44" t="str">
        <f ca="1">IF(AR9&gt;WEEKNUM(TODAY())," ", IF(AND(AR10="x",SUM($AB298:AR298)&gt;$AB296),W9-(SUM($AB298:AR298)/SUM($AB296:$BG296)),IF(SUM($AB298:AR298)&gt;=$AB296," ",W9-(SUM($AB298:AR298)/(SUM($AB296:$BG296))))))</f>
        <v xml:space="preserve"> </v>
      </c>
      <c r="AS299" s="44" t="str">
        <f ca="1">IF(AS9&gt;WEEKNUM(TODAY())," ", IF(AND(AS10="x",SUM($AB298:AS298)&gt;$AB296),X9-(SUM($AB298:AS298)/SUM($AB296:$BG296)),IF(SUM($AB298:AS298)&gt;=$AB296," ",X9-(SUM($AB298:AS298)/(SUM($AB296:$BG296))))))</f>
        <v xml:space="preserve"> </v>
      </c>
      <c r="AT299" s="44" t="str">
        <f ca="1">IF(AT9&gt;WEEKNUM(TODAY())," ", IF(AND(AT10="x",SUM($AB298:AT298)&gt;$AB296),Y9-(SUM($AB298:AT298)/SUM($AB296:$BG296)),IF(SUM($AB298:AT298)&gt;=$AB296," ",Y9-(SUM($AB298:AT298)/(SUM($AB296:$BG296))))))</f>
        <v xml:space="preserve"> </v>
      </c>
      <c r="AU299" s="44" t="str">
        <f ca="1">IF(AU9&gt;WEEKNUM(TODAY())," ", IF(AND(AU10="x",SUM($AB298:AU298)&gt;$AB296),Z9-(SUM($AB298:AU298)/SUM($AB296:$BG296)),IF(SUM($AB298:AU298)&gt;=$AB296," ",Z9-(SUM($AB298:AU298)/(SUM($AB296:$BG296))))))</f>
        <v xml:space="preserve"> </v>
      </c>
      <c r="AV299" s="44" t="str">
        <f ca="1">IF(AV9&gt;WEEKNUM(TODAY())," ", IF(AND(AV10="x",SUM($AB298:AV298)&gt;$AB296),AA9-(SUM($AB298:AV298)/SUM($AB296:$BG296)),IF(SUM($AB298:AV298)&gt;=$AB296," ",AA9-(SUM($AB298:AV298)/(SUM($AB296:$BG296))))))</f>
        <v xml:space="preserve"> </v>
      </c>
      <c r="AW299" s="44" t="str">
        <f ca="1">IF(AW9&gt;WEEKNUM(TODAY())," ", IF(AND(AW10="x",SUM($AB298:AW298)&gt;$AB296),AB9-(SUM($AB298:AW298)/SUM($AB296:$BG296)),IF(SUM($AB298:AW298)&gt;=$AB296," ",AB9-(SUM($AB298:AW298)/(SUM($AB296:$BG296))))))</f>
        <v xml:space="preserve"> </v>
      </c>
      <c r="AX299" s="44" t="str">
        <f ca="1">IF(AX9&gt;WEEKNUM(TODAY())," ", IF(AND(AX10="x",SUM($AB298:AX298)&gt;$AB296),AC9-(SUM($AB298:AX298)/SUM($AB296:$BG296)),IF(SUM($AB298:AX298)&gt;=$AB296," ",AC9-(SUM($AB298:AX298)/(SUM($AB296:$BG296))))))</f>
        <v xml:space="preserve"> </v>
      </c>
      <c r="AY299" s="44" t="str">
        <f ca="1">IF(AY9&gt;WEEKNUM(TODAY())," ", IF(AND(AY10="x",SUM($AB298:AY298)&gt;$AB296),AD9-(SUM($AB298:AY298)/SUM($AB296:$BG296)),IF(SUM($AB298:AY298)&gt;=$AB296," ",AD9-(SUM($AB298:AY298)/(SUM($AB296:$BG296))))))</f>
        <v xml:space="preserve"> </v>
      </c>
      <c r="AZ299" s="44" t="str">
        <f ca="1">IF(AZ9&gt;WEEKNUM(TODAY())," ", IF(AND(AZ10="x",SUM($AB298:AZ298)&gt;$AB296),AE9-(SUM($AB298:AZ298)/SUM($AB296:$BG296)),IF(SUM($AB298:AZ298)&gt;=$AB296," ",AE9-(SUM($AB298:AZ298)/(SUM($AB296:$BG296))))))</f>
        <v xml:space="preserve"> </v>
      </c>
      <c r="BA299" s="44" t="str">
        <f ca="1">IF(BA9&gt;WEEKNUM(TODAY())," ", IF(AND(BA10="x",SUM($AB298:BA298)&gt;$AB296),AF9-(SUM($AB298:BA298)/SUM($AB296:$BG296)),IF(SUM($AB298:BA298)&gt;=$AB296," ",AF9-(SUM($AB298:BA298)/(SUM($AB296:$BG296))))))</f>
        <v xml:space="preserve"> </v>
      </c>
      <c r="BB299" s="44" t="str">
        <f ca="1">IF(BB9&gt;WEEKNUM(TODAY())," ", IF(AND(BB10="x",SUM($AB298:BB298)&gt;$AB296),AG9-(SUM($AB298:BB298)/SUM($AB296:$BG296)),IF(SUM($AB298:BB298)&gt;=$AB296," ",AG9-(SUM($AB298:BB298)/(SUM($AB296:$BG296))))))</f>
        <v xml:space="preserve"> </v>
      </c>
      <c r="BC299" s="44" t="str">
        <f ca="1">IF(BC9&gt;WEEKNUM(TODAY())," ", IF(AND(BC10="x",SUM($AB298:BC298)&gt;$AB296),AH9-(SUM($AB298:BC298)/SUM($AB296:$BG296)),IF(SUM($AB298:BC298)&gt;=$AB296," ",AH9-(SUM($AB298:BC298)/(SUM($AB296:$BG296))))))</f>
        <v xml:space="preserve"> </v>
      </c>
      <c r="BD299" s="44" t="str">
        <f ca="1">IF(BD9&gt;WEEKNUM(TODAY())," ", IF(AND(BD10="x",SUM($AB298:BD298)&gt;$AB296),AI9-(SUM($AB298:BD298)/SUM($AB296:$BG296)),IF(SUM($AB298:BD298)&gt;=$AB296," ",AI9-(SUM($AB298:BD298)/(SUM($AB296:$BG296))))))</f>
        <v xml:space="preserve"> </v>
      </c>
      <c r="BE299" s="44" t="str">
        <f ca="1">IF(BE9&gt;WEEKNUM(TODAY())," ", IF(AND(BE10="x",SUM($AB298:BE298)&gt;$AB296),AJ9-(SUM($AB298:BE298)/SUM($AB296:$BG296)),IF(SUM($AB298:BE298)&gt;=$AB296," ",AJ9-(SUM($AB298:BE298)/(SUM($AB296:$BG296))))))</f>
        <v xml:space="preserve"> </v>
      </c>
      <c r="BF299" s="44" t="str">
        <f ca="1">IF(BF9&gt;WEEKNUM(TODAY())," ", IF(AND(BF10="x",SUM($AB298:BF298)&gt;$AB296),AK9-(SUM($AB298:BF298)/SUM($AB296:$BG296)),IF(SUM($AB298:BF298)&gt;=$AB296," ",AK9-(SUM($AB298:BF298)/(SUM($AB296:$BG296))))))</f>
        <v xml:space="preserve"> </v>
      </c>
      <c r="BG299" s="44" t="str">
        <f ca="1">IF(BG9&gt;WEEKNUM(TODAY())," ", IF(AND(BG10="x",SUM($AB298:BG298)&gt;$AB296),AL9-(SUM($AB298:BG298)/SUM($AB296:$BG296)),IF(SUM($AB298:BG298)&gt;=$AB296," ",AL9-(SUM($AB298:BG298)/(SUM($AB296:$BG296))))))</f>
        <v xml:space="preserve"> </v>
      </c>
      <c r="BH299" s="21"/>
    </row>
    <row r="300" spans="2:60" ht="16.2" thickBot="1" x14ac:dyDescent="0.35">
      <c r="B300" s="72"/>
      <c r="C300" s="79"/>
      <c r="D300" s="84"/>
      <c r="E300" s="57"/>
      <c r="F300" s="117"/>
      <c r="H300" s="43" t="str">
        <f ca="1">IF(SUM($H298:H298) &gt; SUM($H297:H297),  " N/A", IF(SUM($H298:$BG298) = SUM($H239:$BH239),    " ",IF(H298 = SUM($H239:$BH239),  " ",   "x")))</f>
        <v xml:space="preserve"> </v>
      </c>
      <c r="I300" s="44" t="str">
        <f ca="1">IF(SUM($H298:I298) &gt; SUM($H297:I297),  " N/A", IF(SUM($H298:$BG298) = SUM($H239:$BH239),    " ",IF(I298 = SUM($H239:$BH239),  " ",   "x")))</f>
        <v xml:space="preserve"> </v>
      </c>
      <c r="J300" s="44" t="str">
        <f ca="1">IF(SUM($H298:J298) &gt; SUM($H297:J297),  " N/A", IF(SUM($H298:$BG298) = SUM($H239:$BH239),    " ",IF(J298 = SUM($H239:$BH239),  " ",   "x")))</f>
        <v xml:space="preserve"> </v>
      </c>
      <c r="K300" s="44" t="str">
        <f ca="1">IF(SUM($H298:K298) &gt; SUM($H297:K297),  " N/A", IF(SUM($H298:$BG298) = SUM($H239:$BH239),    " ",IF(K298 = SUM($H239:$BH239),  " ",   "x")))</f>
        <v xml:space="preserve"> </v>
      </c>
      <c r="L300" s="44" t="str">
        <f ca="1">IF(SUM($H298:L298) &gt; SUM($H297:L297),  " N/A", IF(SUM($H298:$BG298) = SUM($H239:$BH239),    " ",IF(L298 = SUM($H239:$BH239),  " ",   "x")))</f>
        <v xml:space="preserve"> </v>
      </c>
      <c r="M300" s="44" t="str">
        <f ca="1">IF(SUM($H298:M298) &gt; SUM($H297:M297),  " N/A", IF(SUM($H298:$BG298) = SUM($H239:$BH239),    " ",IF(M298 = SUM($H239:$BH239),  " ",   "x")))</f>
        <v xml:space="preserve"> </v>
      </c>
      <c r="N300" s="44" t="str">
        <f ca="1">IF(SUM($H298:N298) &gt; SUM($H297:N297),  " N/A", IF(SUM($H298:$BG298) = SUM($H239:$BH239),    " ",IF(N298 = SUM($H239:$BH239),  " ",   "x")))</f>
        <v xml:space="preserve"> </v>
      </c>
      <c r="O300" s="44" t="str">
        <f ca="1">IF(SUM($H298:O298) &gt; SUM($H297:O297),  " N/A", IF(SUM($H298:$BG298) = SUM($H239:$BH239),    " ",IF(O298 = SUM($H239:$BH239),  " ",   "x")))</f>
        <v xml:space="preserve"> </v>
      </c>
      <c r="P300" s="44" t="str">
        <f ca="1">IF(SUM($H298:P298) &gt; SUM($H297:P297),  " N/A", IF(SUM($H298:$BG298) = SUM($H239:$BH239),    " ",IF(P298 = SUM($H239:$BH239),  " ",   "x")))</f>
        <v xml:space="preserve"> </v>
      </c>
      <c r="Q300" s="44" t="str">
        <f ca="1">IF(SUM($H298:Q298) &gt; SUM($H297:Q297),  " N/A", IF(SUM($H298:$BG298) = SUM($H239:$BH239),    " ",IF(Q298 = SUM($H239:$BH239),  " ",   "x")))</f>
        <v xml:space="preserve"> </v>
      </c>
      <c r="R300" s="44" t="str">
        <f ca="1">IF(SUM($H298:R298) &gt; SUM($H297:R297),  " N/A", IF(SUM($H298:$BG298) = SUM($H239:$BH239),    " ",IF(R298 = SUM($H239:$BH239),  " ",   "x")))</f>
        <v xml:space="preserve"> </v>
      </c>
      <c r="S300" s="44" t="str">
        <f ca="1">IF(SUM($H298:S298) &gt; SUM($H297:S297),  " N/A", IF(SUM($H298:$BG298) = SUM($H239:$BH239),    " ",IF(S298 = SUM($H239:$BH239),  " ",   "x")))</f>
        <v xml:space="preserve"> </v>
      </c>
      <c r="T300" s="44" t="str">
        <f ca="1">IF(SUM($H298:T298) &gt; SUM($H297:T297),  " N/A", IF(SUM($H298:$BG298) = SUM($H239:$BH239),    " ",IF(T298 = SUM($H239:$BH239),  " ",   "x")))</f>
        <v xml:space="preserve"> </v>
      </c>
      <c r="U300" s="50" t="str">
        <f>IF(SUM($H298:U298) &gt; SUM($H296:U296),  " N/A", IF(SUM($H298:$BG298) = SUM($H296:$BH296),    " ",IF(U298 = SUM($H296:$BH296),  " ",   "x")))</f>
        <v xml:space="preserve"> </v>
      </c>
      <c r="V300" s="50" t="str">
        <f>IF(SUM($H298:V298) &gt; SUM($H296:V296),  " N/A", IF(SUM($H298:$BG298) = SUM($H296:$BH296),    " ",IF(V298 = SUM($H296:$BH296),  " ",   "x")))</f>
        <v xml:space="preserve"> </v>
      </c>
      <c r="W300" s="50" t="str">
        <f>IF(SUM($H298:W298) &gt; SUM($H296:W296),  " N/A", IF(SUM($H298:$BG298) = SUM($H296:$BH296),    " ",IF(W298 = SUM($H296:$BH296),  " ",   "x")))</f>
        <v xml:space="preserve"> </v>
      </c>
      <c r="X300" s="50" t="str">
        <f>IF(SUM($H298:X298) &gt; SUM($H296:X296),  " N/A", IF(SUM($H298:$BG298) = SUM($H296:$BH296),    " ",IF(X298 = SUM($H296:$BH296),  " ",   "x")))</f>
        <v xml:space="preserve"> </v>
      </c>
      <c r="Y300" s="50" t="str">
        <f>IF(SUM($H298:Y298) &gt; SUM($H296:Y296),  " N/A", IF(SUM($H298:$BG298) = SUM($H296:$BH296),    " ",IF(Y298 = SUM($H296:$BH296),  " ",   "x")))</f>
        <v xml:space="preserve"> </v>
      </c>
      <c r="Z300" s="50" t="str">
        <f>IF(SUM($H298:Z298) &gt; SUM($H296:Z296),  " N/A", IF(SUM($H298:$BG298) = SUM($H296:$BH296),    " ",IF(Z298 = SUM($H296:$BH296),  " ",   "x")))</f>
        <v xml:space="preserve"> </v>
      </c>
      <c r="AA300" s="50" t="str">
        <f>IF(SUM($H298:AA298) &gt; SUM($H296:AA296),  " N/A", IF(SUM($H298:$BG298) = SUM($H296:$BH296),    " ",IF(AA298 = SUM($H296:$BH296),  " ",   "x")))</f>
        <v xml:space="preserve"> </v>
      </c>
      <c r="AB300" s="50" t="str">
        <f>IF(SUM($H298:AB298) &gt; SUM($H296:AB296),  " N/A", IF(SUM($H298:$BG298) = SUM($H296:$BH296),    " ",IF(AB298 = SUM($H296:$BH296),  " ",   "x")))</f>
        <v xml:space="preserve"> </v>
      </c>
      <c r="AC300" s="50" t="str">
        <f>IF(SUM($H298:AC298) &gt; SUM($H296:AC296),  " N/A", IF(SUM($H298:$BG298) = SUM($H296:$BH296),    " ",IF(AC298 = SUM($H296:$BH296),  " ",   "x")))</f>
        <v xml:space="preserve"> </v>
      </c>
      <c r="AD300" s="50" t="str">
        <f>IF(SUM($H298:AD298) &gt; SUM($H296:AD296),  " N/A", IF(SUM($H298:$BG298) = SUM($H296:$BH296),    " ",IF(AD298 = SUM($H296:$BH296),  " ",   "x")))</f>
        <v xml:space="preserve"> </v>
      </c>
      <c r="AE300" s="50" t="str">
        <f>IF(SUM($H298:AE298) &gt; SUM($H296:AE296),  " N/A", IF(SUM($H298:$BG298) = SUM($H296:$BH296),    " ",IF(AE298 = SUM($H296:$BH296),  " ",   "x")))</f>
        <v xml:space="preserve"> </v>
      </c>
      <c r="AF300" s="50" t="str">
        <f>IF(SUM($H298:AF298) &gt; SUM($H296:AF296),  " N/A", IF(SUM($H298:$BG298) = SUM($H296:$BH296),    " ",IF(AF298 = SUM($H296:$BH296),  " ",   "x")))</f>
        <v xml:space="preserve"> </v>
      </c>
      <c r="AG300" s="50" t="str">
        <f>IF(SUM($H298:AG298) &gt; SUM($H296:AG296),  " N/A", IF(SUM($H298:$BG298) = SUM($H296:$BH296),    " ",IF(AG298 = SUM($H296:$BH296),  " ",   "x")))</f>
        <v xml:space="preserve"> </v>
      </c>
      <c r="AH300" s="50" t="str">
        <f>IF(SUM($H298:AH298) &gt; SUM($H296:AH296),  " N/A", IF(SUM($H298:$BG298) = SUM($H296:$BH296),    " ",IF(AH298 = SUM($H296:$BH296),  " ",   "x")))</f>
        <v xml:space="preserve"> </v>
      </c>
      <c r="AI300" s="50" t="str">
        <f>IF(SUM($H298:AI298) &gt; SUM($H296:AI296),  " N/A", IF(SUM($H298:$BG298) = SUM($H296:$BH296),    " ",IF(AI298 = SUM($H296:$BH296),  " ",   "x")))</f>
        <v xml:space="preserve"> </v>
      </c>
      <c r="AJ300" s="50" t="str">
        <f>IF(SUM($H298:AJ298) &gt; SUM($H296:AJ296),  " N/A", IF(SUM($H298:$BG298) = SUM($H296:$BH296),    " ",IF(AJ298 = SUM($H296:$BH296),  " ",   "x")))</f>
        <v xml:space="preserve"> </v>
      </c>
      <c r="AK300" s="50" t="str">
        <f>IF(SUM($H298:AK298) &gt; SUM($H296:AK296),  " N/A", IF(SUM($H298:$BG298) = SUM($H296:$BH296),    " ",IF(AK298 = SUM($H296:$BH296),  " ",   "x")))</f>
        <v xml:space="preserve"> </v>
      </c>
      <c r="AL300" s="50" t="str">
        <f>IF(SUM($H298:AL298) &gt; SUM($H296:AL296),  " N/A", IF(SUM($H298:$BG298) = SUM($H296:$BH296),    " ",IF(AL298 = SUM($H296:$BH296),  " ",   "x")))</f>
        <v xml:space="preserve"> </v>
      </c>
      <c r="AM300" s="50" t="str">
        <f>IF(SUM($H298:AM298) &gt; SUM($H296:AM296),  " N/A", IF(SUM($H298:$BG298) = SUM($H296:$BH296),    " ",IF(AM298 = SUM($H296:$BH296),  " ",   "x")))</f>
        <v xml:space="preserve"> </v>
      </c>
      <c r="AN300" s="50" t="str">
        <f>IF(SUM($H298:AN298) &gt; SUM($H296:AN296),  " N/A", IF(SUM($H298:$BG298) = SUM($H296:$BH296),    " ",IF(AN298 = SUM($H296:$BH296),  " ",   "x")))</f>
        <v xml:space="preserve"> </v>
      </c>
      <c r="AO300" s="50" t="str">
        <f>IF(SUM($H298:AO298) &gt; SUM($H296:AO296),  " N/A", IF(SUM($H298:$BG298) = SUM($H296:$BH296),    " ",IF(AO298 = SUM($H296:$BH296),  " ",   "x")))</f>
        <v xml:space="preserve"> </v>
      </c>
      <c r="AP300" s="50" t="str">
        <f>IF(SUM($H298:AP298) &gt; SUM($H296:AP296),  " N/A", IF(SUM($H298:$BG298) = SUM($H296:$BH296),    " ",IF(AP298 = SUM($H296:$BH296),  " ",   "x")))</f>
        <v xml:space="preserve"> </v>
      </c>
      <c r="AQ300" s="50" t="str">
        <f>IF(SUM($H298:AQ298) &gt; SUM($H296:AQ296),  " N/A", IF(SUM($H298:$BG298) = SUM($H296:$BH296),    " ",IF(AQ298 = SUM($H296:$BH296),  " ",   "x")))</f>
        <v xml:space="preserve"> </v>
      </c>
      <c r="AR300" s="50" t="str">
        <f>IF(SUM($H298:AR298) &gt; SUM($H296:AR296),  " N/A", IF(SUM($H298:$BG298) = SUM($H296:$BH296),    " ",IF(AR298 = SUM($H296:$BH296),  " ",   "x")))</f>
        <v xml:space="preserve"> </v>
      </c>
      <c r="AS300" s="50" t="str">
        <f>IF(SUM($H298:AS298) &gt; SUM($H296:AS296),  " N/A", IF(SUM($H298:$BG298) = SUM($H296:$BH296),    " ",IF(AS298 = SUM($H296:$BH296),  " ",   "x")))</f>
        <v xml:space="preserve"> </v>
      </c>
      <c r="AT300" s="50" t="str">
        <f>IF(SUM($H298:AT298) &gt; SUM($H296:AT296),  " N/A", IF(SUM($H298:$BG298) = SUM($H296:$BH296),    " ",IF(AT298 = SUM($H296:$BH296),  " ",   "x")))</f>
        <v xml:space="preserve"> </v>
      </c>
      <c r="AU300" s="50" t="str">
        <f>IF(SUM($H298:AU298) &gt; SUM($H296:AU296),  " N/A", IF(SUM($H298:$BG298) = SUM($H296:$BH296),    " ",IF(AU298 = SUM($H296:$BH296),  " ",   "x")))</f>
        <v xml:space="preserve"> </v>
      </c>
      <c r="AV300" s="50" t="str">
        <f>IF(SUM($H298:AV298) &gt; SUM($H296:AV296),  " N/A", IF(SUM($H298:$BG298) = SUM($H296:$BH296),    " ",IF(AV298 = SUM($H296:$BH296),  " ",   "x")))</f>
        <v xml:space="preserve"> </v>
      </c>
      <c r="AW300" s="50" t="str">
        <f>IF(SUM($H298:AW298) &gt; SUM($H296:AW296),  " N/A", IF(SUM($H298:$BG298) = SUM($H296:$BH296),    " ",IF(AW298 = SUM($H296:$BH296),  " ",   "x")))</f>
        <v xml:space="preserve"> </v>
      </c>
      <c r="AX300" s="50" t="str">
        <f>IF(SUM($H298:AX298) &gt; SUM($H296:AX296),  " N/A", IF(SUM($H298:$BG298) = SUM($H296:$BH296),    " ",IF(AX298 = SUM($H296:$BH296),  " ",   "x")))</f>
        <v xml:space="preserve"> </v>
      </c>
      <c r="AY300" s="50" t="str">
        <f>IF(SUM($H298:AY298) &gt; SUM($H296:AY296),  " N/A", IF(SUM($H298:$BG298) = SUM($H296:$BH296),    " ",IF(AY298 = SUM($H296:$BH296),  " ",   "x")))</f>
        <v xml:space="preserve"> </v>
      </c>
      <c r="AZ300" s="50" t="str">
        <f>IF(SUM($H298:AZ298) &gt; SUM($H296:AZ296),  " N/A", IF(SUM($H298:$BG298) = SUM($H296:$BH296),    " ",IF(AZ298 = SUM($H296:$BH296),  " ",   "x")))</f>
        <v xml:space="preserve"> </v>
      </c>
      <c r="BA300" s="50" t="str">
        <f>IF(SUM($H298:BA298) &gt; SUM($H296:BA296),  " N/A", IF(SUM($H298:$BG298) = SUM($H296:$BH296),    " ",IF(BA298 = SUM($H296:$BH296),  " ",   "x")))</f>
        <v xml:space="preserve"> </v>
      </c>
      <c r="BB300" s="50" t="str">
        <f>IF(SUM($H298:BB298) &gt; SUM($H296:BB296),  " N/A", IF(SUM($H298:$BG298) = SUM($H296:$BH296),    " ",IF(BB298 = SUM($H296:$BH296),  " ",   "x")))</f>
        <v xml:space="preserve"> </v>
      </c>
      <c r="BC300" s="50" t="str">
        <f>IF(SUM($H298:BC298) &gt; SUM($H296:BC296),  " N/A", IF(SUM($H298:$BG298) = SUM($H296:$BH296),    " ",IF(BC298 = SUM($H296:$BH296),  " ",   "x")))</f>
        <v xml:space="preserve"> </v>
      </c>
      <c r="BD300" s="50" t="str">
        <f>IF(SUM($H298:BD298) &gt; SUM($H296:BD296),  " N/A", IF(SUM($H298:$BG298) = SUM($H296:$BH296),    " ",IF(BD298 = SUM($H296:$BH296),  " ",   "x")))</f>
        <v xml:space="preserve"> </v>
      </c>
      <c r="BE300" s="50" t="str">
        <f>IF(SUM($H298:BE298) &gt; SUM($H296:BE296),  " N/A", IF(SUM($H298:$BG298) = SUM($H296:$BH296),    " ",IF(BE298 = SUM($H296:$BH296),  " ",   "x")))</f>
        <v xml:space="preserve"> </v>
      </c>
      <c r="BF300" s="50" t="str">
        <f>IF(SUM($H298:BF298) &gt; SUM($H296:BF296),  " N/A", IF(SUM($H298:$BG298) = SUM($H296:$BH296),    " ",IF(BF298 = SUM($H296:$BH296),  " ",   "x")))</f>
        <v xml:space="preserve"> </v>
      </c>
      <c r="BG300" s="50" t="str">
        <f>IF(SUM($H298:BG298) &gt; SUM($H296:BG296),  " N/A", IF(SUM($H298:$BG298) = SUM($H296:$BH296),    " ",IF(BG298 = SUM($H296:$BH296),  " ",   "x")))</f>
        <v xml:space="preserve"> </v>
      </c>
      <c r="BH300" s="21"/>
    </row>
    <row r="301" spans="2:60" ht="15.6" x14ac:dyDescent="0.3">
      <c r="B301" s="67"/>
      <c r="C301" s="77"/>
      <c r="D301" s="82" t="s">
        <v>249</v>
      </c>
      <c r="E301" s="54">
        <f>SUM(H301:BG301)</f>
        <v>16</v>
      </c>
      <c r="F301" s="115">
        <f>Gant_24!$E301-E303</f>
        <v>0</v>
      </c>
      <c r="H301" s="41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>
        <v>16</v>
      </c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42"/>
      <c r="BB301" s="42"/>
      <c r="BC301" s="42"/>
      <c r="BD301" s="42"/>
      <c r="BE301" s="42"/>
      <c r="BF301" s="42"/>
      <c r="BG301" s="42"/>
      <c r="BH301" s="21"/>
    </row>
    <row r="302" spans="2:60" ht="15.6" x14ac:dyDescent="0.3">
      <c r="B302" s="68"/>
      <c r="C302" s="78"/>
      <c r="D302" s="83" t="s">
        <v>261</v>
      </c>
      <c r="E302" s="55">
        <f>SUM(H302:BG302)</f>
        <v>16</v>
      </c>
      <c r="F302" s="116"/>
      <c r="H302" s="43"/>
      <c r="I302" s="44"/>
      <c r="J302" s="44"/>
      <c r="K302" s="44"/>
      <c r="L302" s="44"/>
      <c r="M302" s="44"/>
      <c r="N302" s="44"/>
      <c r="O302" s="44"/>
      <c r="P302" s="44"/>
      <c r="Q302" s="44"/>
      <c r="R302" s="44"/>
      <c r="S302" s="44"/>
      <c r="T302" s="44"/>
      <c r="U302" s="44"/>
      <c r="V302" s="44"/>
      <c r="W302" s="44"/>
      <c r="X302" s="44"/>
      <c r="Y302" s="44"/>
      <c r="Z302" s="44"/>
      <c r="AA302" s="44"/>
      <c r="AB302" s="44"/>
      <c r="AC302" s="44"/>
      <c r="AD302" s="44"/>
      <c r="AE302" s="44"/>
      <c r="AF302" s="44"/>
      <c r="AG302" s="44">
        <v>5</v>
      </c>
      <c r="AH302" s="44"/>
      <c r="AI302" s="44"/>
      <c r="AJ302" s="44"/>
      <c r="AK302" s="44"/>
      <c r="AL302" s="44">
        <v>11</v>
      </c>
      <c r="AM302" s="44"/>
      <c r="AN302" s="44"/>
      <c r="AO302" s="44"/>
      <c r="AP302" s="44"/>
      <c r="AQ302" s="44"/>
      <c r="AR302" s="44"/>
      <c r="AS302" s="44"/>
      <c r="AT302" s="44"/>
      <c r="AU302" s="44"/>
      <c r="AV302" s="44"/>
      <c r="AW302" s="44"/>
      <c r="AX302" s="44"/>
      <c r="AY302" s="44"/>
      <c r="AZ302" s="44"/>
      <c r="BA302" s="44"/>
      <c r="BB302" s="44"/>
      <c r="BC302" s="44"/>
      <c r="BD302" s="44"/>
      <c r="BE302" s="44"/>
      <c r="BF302" s="44"/>
      <c r="BG302" s="44"/>
      <c r="BH302" s="21"/>
    </row>
    <row r="303" spans="2:60" ht="15.6" x14ac:dyDescent="0.3">
      <c r="B303" s="68" t="s">
        <v>235</v>
      </c>
      <c r="C303" s="78" t="s">
        <v>236</v>
      </c>
      <c r="D303" s="83" t="s">
        <v>241</v>
      </c>
      <c r="E303" s="55">
        <f>SUM(H303:BG303)</f>
        <v>16</v>
      </c>
      <c r="F303" s="116"/>
      <c r="H303" s="45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  <c r="AG303" s="46"/>
      <c r="AH303" s="46">
        <v>10</v>
      </c>
      <c r="AI303" s="46"/>
      <c r="AJ303" s="46">
        <v>6</v>
      </c>
      <c r="AK303" s="46"/>
      <c r="AL303" s="46"/>
      <c r="AM303" s="46"/>
      <c r="AN303" s="46"/>
      <c r="AO303" s="46"/>
      <c r="AP303" s="46"/>
      <c r="AQ303" s="46"/>
      <c r="AR303" s="46"/>
      <c r="AS303" s="46"/>
      <c r="AT303" s="46"/>
      <c r="AU303" s="46"/>
      <c r="AV303" s="46"/>
      <c r="AW303" s="46"/>
      <c r="AX303" s="46"/>
      <c r="AY303" s="46"/>
      <c r="AZ303" s="46"/>
      <c r="BA303" s="46"/>
      <c r="BB303" s="46"/>
      <c r="BC303" s="46"/>
      <c r="BD303" s="46"/>
      <c r="BE303" s="46"/>
      <c r="BF303" s="46"/>
      <c r="BG303" s="46"/>
      <c r="BH303" s="21"/>
    </row>
    <row r="304" spans="2:60" ht="15.6" x14ac:dyDescent="0.3">
      <c r="B304" s="68"/>
      <c r="C304" s="78"/>
      <c r="D304" s="83" t="s">
        <v>278</v>
      </c>
      <c r="E304" s="56">
        <f ca="1">MAX(H304:BG304)</f>
        <v>0</v>
      </c>
      <c r="F304" s="116"/>
      <c r="H304" s="47"/>
      <c r="I304" s="48"/>
      <c r="J304" s="48"/>
      <c r="K304" s="48"/>
      <c r="L304" s="44"/>
      <c r="M304" s="44"/>
      <c r="N304" s="44"/>
      <c r="O304" s="44"/>
      <c r="P304" s="44"/>
      <c r="Q304" s="44"/>
      <c r="R304" s="44"/>
      <c r="S304" s="44"/>
      <c r="T304" s="44"/>
      <c r="U304" s="44"/>
      <c r="V304" s="44"/>
      <c r="W304" s="44"/>
      <c r="X304" s="44"/>
      <c r="Y304" s="44"/>
      <c r="Z304" s="44"/>
      <c r="AA304" s="44"/>
      <c r="AB304" s="44"/>
      <c r="AC304" s="44" t="str">
        <f>IF(SUM(H301:BG301) = AC303, " ", " ")</f>
        <v xml:space="preserve"> </v>
      </c>
      <c r="AD304" s="44" t="str">
        <f ca="1">IF(AD9&gt;WEEKNUM(TODAY())," ", IF(AND(AE10="x",SUM($AC303:AD303)&gt;$AC301),H9-(SUM($AC303:AD303)/SUM($AC301:$BG301)),IF(SUM($AC303:AD303)&gt;=$AC301," ",H9-(SUM($AC303:AD303)/(SUM($AC301:$BG301))))))</f>
        <v xml:space="preserve"> </v>
      </c>
      <c r="AE304" s="44" t="str">
        <f ca="1">IF(AE9&gt;WEEKNUM(TODAY())," ", IF(AND(AF10="x",SUM($AC303:AE303)&gt;$AC301),I9-(SUM($AC303:AE303)/SUM($AC301:$BG301)),IF(SUM($AC303:AE303)&gt;=$AC301," ",I9-(SUM($AC303:AE303)/(SUM($AC301:$BG301))))))</f>
        <v xml:space="preserve"> </v>
      </c>
      <c r="AF304" s="44" t="str">
        <f ca="1">IF(AF9&gt;WEEKNUM(TODAY())," ", IF(AND(AG10="x",SUM($AC303:AF303)&gt;$AC301),J9-(SUM($AC303:AF303)/SUM($AC301:$BG301)),IF(SUM($AC303:AF303)&gt;=$AC301," ",J9-(SUM($AC303:AF303)/(SUM($AC301:$BG301))))))</f>
        <v xml:space="preserve"> </v>
      </c>
      <c r="AG304" s="44" t="str">
        <f ca="1">IF(AG9&gt;WEEKNUM(TODAY())," ", IF(AND(AH10="x",SUM($AC303:AG303)&gt;$AC301),K9-(SUM($AC303:AG303)/SUM($AC301:$BG301)),IF(SUM($AC303:AG303)&gt;=$AC301," ",K9-(SUM($AC303:AG303)/(SUM($AC301:$BG301))))))</f>
        <v xml:space="preserve"> </v>
      </c>
      <c r="AH304" s="44" t="str">
        <f ca="1">IF(AH9&gt;WEEKNUM(TODAY())," ", IF(AND(AI10="x",SUM($AC303:AH303)&gt;$AC301),L9-(SUM($AC303:AH303)/SUM($AC301:$BG301)),IF(SUM($AC303:AH303)&gt;=$AC301," ",L9-(SUM($AC303:AH303)/(SUM($AC301:$BG301))))))</f>
        <v xml:space="preserve"> </v>
      </c>
      <c r="AI304" s="44" t="str">
        <f ca="1">IF(AI9&gt;WEEKNUM(TODAY())," ", IF(AND(AJ10="x",SUM($AC303:AI303)&gt;$AC301),M9-(SUM($AC303:AI303)/SUM($AC301:$BG301)),IF(SUM($AC303:AI303)&gt;=$AC301," ",M9-(SUM($AC303:AI303)/(SUM($AC301:$BG301))))))</f>
        <v xml:space="preserve"> </v>
      </c>
      <c r="AJ304" s="44" t="str">
        <f ca="1">IF(AJ9&gt;WEEKNUM(TODAY())," ", IF(AND(AK10="x",SUM($AC303:AJ303)&gt;$AC301),N9-(SUM($AC303:AJ303)/SUM($AC301:$BG301)),IF(SUM($AC303:AJ303)&gt;=$AC301," ",N9-(SUM($AC303:AJ303)/(SUM($AC301:$BG301))))))</f>
        <v xml:space="preserve"> </v>
      </c>
      <c r="AK304" s="44" t="str">
        <f ca="1">IF(AK9&gt;WEEKNUM(TODAY())," ", IF(AND(AL10="x",SUM($AC303:AK303)&gt;$AC301),O9-(SUM($AC303:AK303)/SUM($AC301:$BG301)),IF(SUM($AC303:AK303)&gt;=$AC301," ",O9-(SUM($AC303:AK303)/(SUM($AC301:$BG301))))))</f>
        <v xml:space="preserve"> </v>
      </c>
      <c r="AL304" s="44" t="str">
        <f ca="1">IF(AL9&gt;WEEKNUM(TODAY())," ", IF(AND(AM10="x",SUM($AC303:AL303)&gt;$AC301),P9-(SUM($AC303:AL303)/SUM($AC301:$BG301)),IF(SUM($AC303:AL303)&gt;=$AC301," ",P9-(SUM($AC303:AL303)/(SUM($AC301:$BG301))))))</f>
        <v xml:space="preserve"> </v>
      </c>
      <c r="AM304" s="44" t="str">
        <f ca="1">IF(AM9&gt;WEEKNUM(TODAY())," ", IF(AND(AN10="x",SUM($AC303:AM303)&gt;$AC301),Q9-(SUM($AC303:AM303)/SUM($AC301:$BG301)),IF(SUM($AC303:AM303)&gt;=$AC301," ",Q9-(SUM($AC303:AM303)/(SUM($AC301:$BG301))))))</f>
        <v xml:space="preserve"> </v>
      </c>
      <c r="AN304" s="44" t="str">
        <f ca="1">IF(AN9&gt;WEEKNUM(TODAY())," ", IF(AND(AO10="x",SUM($AC303:AN303)&gt;$AC301),R9-(SUM($AC303:AN303)/SUM($AC301:$BG301)),IF(SUM($AC303:AN303)&gt;=$AC301," ",R9-(SUM($AC303:AN303)/(SUM($AC301:$BG301))))))</f>
        <v xml:space="preserve"> </v>
      </c>
      <c r="AO304" s="44" t="str">
        <f ca="1">IF(AO9&gt;WEEKNUM(TODAY())," ", IF(AND(AP10="x",SUM($AC303:AO303)&gt;$AC301),S9-(SUM($AC303:AO303)/SUM($AC301:$BG301)),IF(SUM($AC303:AO303)&gt;=$AC301," ",S9-(SUM($AC303:AO303)/(SUM($AC301:$BG301))))))</f>
        <v xml:space="preserve"> </v>
      </c>
      <c r="AP304" s="44" t="str">
        <f ca="1">IF(AP9&gt;WEEKNUM(TODAY())," ", IF(AND(AQ10="x",SUM($AC303:AP303)&gt;$AC301),T9-(SUM($AC303:AP303)/SUM($AC301:$BG301)),IF(SUM($AC303:AP303)&gt;=$AC301," ",T9-(SUM($AC303:AP303)/(SUM($AC301:$BG301))))))</f>
        <v xml:space="preserve"> </v>
      </c>
      <c r="AQ304" s="44" t="str">
        <f ca="1">IF(AQ9&gt;WEEKNUM(TODAY())," ", IF(AND(AR10="x",SUM($AC303:AQ303)&gt;$AC301),U9-(SUM($AC303:AQ303)/SUM($AC301:$BG301)),IF(SUM($AC303:AQ303)&gt;=$AC301," ",U9-(SUM($AC303:AQ303)/(SUM($AC301:$BG301))))))</f>
        <v xml:space="preserve"> </v>
      </c>
      <c r="AR304" s="44" t="str">
        <f ca="1">IF(AR9&gt;WEEKNUM(TODAY())," ", IF(AND(AS10="x",SUM($AC303:AR303)&gt;$AC301),V9-(SUM($AC303:AR303)/SUM($AC301:$BG301)),IF(SUM($AC303:AR303)&gt;=$AC301," ",V9-(SUM($AC303:AR303)/(SUM($AC301:$BG301))))))</f>
        <v xml:space="preserve"> </v>
      </c>
      <c r="AS304" s="44" t="str">
        <f ca="1">IF(AS9&gt;WEEKNUM(TODAY())," ", IF(AND(AT10="x",SUM($AC303:AS303)&gt;$AC301),W9-(SUM($AC303:AS303)/SUM($AC301:$BG301)),IF(SUM($AC303:AS303)&gt;=$AC301," ",W9-(SUM($AC303:AS303)/(SUM($AC301:$BG301))))))</f>
        <v xml:space="preserve"> </v>
      </c>
      <c r="AT304" s="44" t="str">
        <f ca="1">IF(AT9&gt;WEEKNUM(TODAY())," ", IF(AND(AU10="x",SUM($AC303:AT303)&gt;$AC301),X9-(SUM($AC303:AT303)/SUM($AC301:$BG301)),IF(SUM($AC303:AT303)&gt;=$AC301," ",X9-(SUM($AC303:AT303)/(SUM($AC301:$BG301))))))</f>
        <v xml:space="preserve"> </v>
      </c>
      <c r="AU304" s="44" t="str">
        <f ca="1">IF(AU9&gt;WEEKNUM(TODAY())," ", IF(AND(AV10="x",SUM($AC303:AU303)&gt;$AC301),Y9-(SUM($AC303:AU303)/SUM($AC301:$BG301)),IF(SUM($AC303:AU303)&gt;=$AC301," ",Y9-(SUM($AC303:AU303)/(SUM($AC301:$BG301))))))</f>
        <v xml:space="preserve"> </v>
      </c>
      <c r="AV304" s="44" t="str">
        <f ca="1">IF(AV9&gt;WEEKNUM(TODAY())," ", IF(AND(AW10="x",SUM($AC303:AV303)&gt;$AC301),Z9-(SUM($AC303:AV303)/SUM($AC301:$BG301)),IF(SUM($AC303:AV303)&gt;=$AC301," ",Z9-(SUM($AC303:AV303)/(SUM($AC301:$BG301))))))</f>
        <v xml:space="preserve"> </v>
      </c>
      <c r="AW304" s="44" t="str">
        <f ca="1">IF(AW9&gt;WEEKNUM(TODAY())," ", IF(AND(AX10="x",SUM($AC303:AW303)&gt;$AC301),AA9-(SUM($AC303:AW303)/SUM($AC301:$BG301)),IF(SUM($AC303:AW303)&gt;=$AC301," ",AA9-(SUM($AC303:AW303)/(SUM($AC301:$BG301))))))</f>
        <v xml:space="preserve"> </v>
      </c>
      <c r="AX304" s="44" t="str">
        <f ca="1">IF(AX9&gt;WEEKNUM(TODAY())," ", IF(AND(AY10="x",SUM($AC303:AX303)&gt;$AC301),AB9-(SUM($AC303:AX303)/SUM($AC301:$BG301)),IF(SUM($AC303:AX303)&gt;=$AC301," ",AB9-(SUM($AC303:AX303)/(SUM($AC301:$BG301))))))</f>
        <v xml:space="preserve"> </v>
      </c>
      <c r="AY304" s="44" t="str">
        <f ca="1">IF(AY9&gt;WEEKNUM(TODAY())," ", IF(AND(AZ10="x",SUM($AC303:AY303)&gt;$AC301),AC9-(SUM($AC303:AY303)/SUM($AC301:$BG301)),IF(SUM($AC303:AY303)&gt;=$AC301," ",AC9-(SUM($AC303:AY303)/(SUM($AC301:$BG301))))))</f>
        <v xml:space="preserve"> </v>
      </c>
      <c r="AZ304" s="44" t="str">
        <f ca="1">IF(AZ9&gt;WEEKNUM(TODAY())," ", IF(AND(BA10="x",SUM($AC303:AZ303)&gt;$AC301),AD9-(SUM($AC303:AZ303)/SUM($AC301:$BG301)),IF(SUM($AC303:AZ303)&gt;=$AC301," ",AD9-(SUM($AC303:AZ303)/(SUM($AC301:$BG301))))))</f>
        <v xml:space="preserve"> </v>
      </c>
      <c r="BA304" s="44" t="str">
        <f ca="1">IF(BA9&gt;WEEKNUM(TODAY())," ", IF(AND(BB10="x",SUM($AC303:BA303)&gt;$AC301),AE9-(SUM($AC303:BA303)/SUM($AC301:$BG301)),IF(SUM($AC303:BA303)&gt;=$AC301," ",AE9-(SUM($AC303:BA303)/(SUM($AC301:$BG301))))))</f>
        <v xml:space="preserve"> </v>
      </c>
      <c r="BB304" s="44" t="str">
        <f ca="1">IF(BB9&gt;WEEKNUM(TODAY())," ", IF(AND(BC10="x",SUM($AC303:BB303)&gt;$AC301),AF9-(SUM($AC303:BB303)/SUM($AC301:$BG301)),IF(SUM($AC303:BB303)&gt;=$AC301," ",AF9-(SUM($AC303:BB303)/(SUM($AC301:$BG301))))))</f>
        <v xml:space="preserve"> </v>
      </c>
      <c r="BC304" s="44" t="str">
        <f ca="1">IF(BC9&gt;WEEKNUM(TODAY())," ", IF(AND(BD10="x",SUM($AC303:BC303)&gt;$AC301),AG9-(SUM($AC303:BC303)/SUM($AC301:$BG301)),IF(SUM($AC303:BC303)&gt;=$AC301," ",AG9-(SUM($AC303:BC303)/(SUM($AC301:$BG301))))))</f>
        <v xml:space="preserve"> </v>
      </c>
      <c r="BD304" s="44" t="str">
        <f ca="1">IF(BD9&gt;WEEKNUM(TODAY())," ", IF(AND(BE10="x",SUM($AC303:BD303)&gt;$AC301),AH9-(SUM($AC303:BD303)/SUM($AC301:$BG301)),IF(SUM($AC303:BD303)&gt;=$AC301," ",AH9-(SUM($AC303:BD303)/(SUM($AC301:$BG301))))))</f>
        <v xml:space="preserve"> </v>
      </c>
      <c r="BE304" s="44" t="str">
        <f ca="1">IF(BE9&gt;WEEKNUM(TODAY())," ", IF(AND(BF10="x",SUM($AC303:BE303)&gt;$AC301),AI9-(SUM($AC303:BE303)/SUM($AC301:$BG301)),IF(SUM($AC303:BE303)&gt;=$AC301," ",AI9-(SUM($AC303:BE303)/(SUM($AC301:$BG301))))))</f>
        <v xml:space="preserve"> </v>
      </c>
      <c r="BF304" s="44" t="str">
        <f ca="1">IF(BF9&gt;WEEKNUM(TODAY())," ", IF(AND(BG10="x",SUM($AC303:BF303)&gt;$AC301),AJ9-(SUM($AC303:BF303)/SUM($AC301:$BG301)),IF(SUM($AC303:BF303)&gt;=$AC301," ",AJ9-(SUM($AC303:BF303)/(SUM($AC301:$BG301))))))</f>
        <v xml:space="preserve"> </v>
      </c>
      <c r="BG304" s="44" t="str">
        <f ca="1">IF(BG9&gt;WEEKNUM(TODAY())," ", IF(AND(BH10="x",SUM($AC303:BG303)&gt;$AC301),AK9-(SUM($AC303:BG303)/SUM($AC301:$BG301)),IF(SUM($AC303:BG303)&gt;=$AC301," ",AK9-(SUM($AC303:BG303)/(SUM($AC301:$BG301))))))</f>
        <v xml:space="preserve"> </v>
      </c>
      <c r="BH304" s="21"/>
    </row>
    <row r="305" spans="2:60" ht="16.2" thickBot="1" x14ac:dyDescent="0.35">
      <c r="B305" s="73"/>
      <c r="C305" s="79"/>
      <c r="D305" s="84"/>
      <c r="E305" s="57"/>
      <c r="F305" s="117"/>
      <c r="H305" s="49" t="str">
        <f>IF(H301= " ", " ",IF(H303&gt;SUM($H301:$BG301), " N/A", IF(SUM($H303:$BG303)=SUM($H301:BG301), " ", IF(H303=SUM($H301:BG301), " ", "x"))))</f>
        <v xml:space="preserve"> </v>
      </c>
      <c r="I305" s="50" t="str">
        <f>IF(SUM($H303:I303) &gt; SUM($H301:I301),  " N/A", IF(SUM($H303:$BG303) = SUM($H301:$BH301),    " ",IF(I303 = SUM($H301:$BH301),  " ",   "x")))</f>
        <v xml:space="preserve"> </v>
      </c>
      <c r="J305" s="50" t="str">
        <f>IF(SUM($H303:J303) &gt; SUM($H301:J301),  " N/A", IF(SUM($H303:$BG303) = SUM($H301:$BH301),    " ",IF(J303 = SUM($H301:$BH301),  " ",   "x")))</f>
        <v xml:space="preserve"> </v>
      </c>
      <c r="K305" s="50" t="str">
        <f>IF(SUM($H303:K303) &gt; SUM($H301:K301),  " N/A", IF(SUM($H303:$BG303) = SUM($H301:$BH301),    " ",IF(K303 = SUM($H301:$BH301),  " ",   "x")))</f>
        <v xml:space="preserve"> </v>
      </c>
      <c r="L305" s="50" t="str">
        <f>IF(SUM($H303:L303) &gt; SUM($H301:L301),  " N/A", IF(SUM($H303:$BG303) = SUM($H301:$BH301),    " ",IF(L303 = SUM($H301:$BH301),  " ",   "x")))</f>
        <v xml:space="preserve"> </v>
      </c>
      <c r="M305" s="50" t="str">
        <f>IF(SUM($H303:M303) &gt; SUM($H301:M301),  " N/A", IF(SUM($H303:$BG303) = SUM($H301:$BH301),    " ",IF(M303 = SUM($H301:$BH301),  " ",   "x")))</f>
        <v xml:space="preserve"> </v>
      </c>
      <c r="N305" s="50" t="str">
        <f>IF(SUM($H303:N303) &gt; SUM($H301:N301),  " N/A", IF(SUM($H303:$BG303) = SUM($H301:$BH301),    " ",IF(N303 = SUM($H301:$BH301),  " ",   "x")))</f>
        <v xml:space="preserve"> </v>
      </c>
      <c r="O305" s="50" t="str">
        <f>IF(SUM($H303:O303) &gt; SUM($H301:O301),  " N/A", IF(SUM($H303:$BG303) = SUM($H301:$BH301),    " ",IF(O303 = SUM($H301:$BH301),  " ",   "x")))</f>
        <v xml:space="preserve"> </v>
      </c>
      <c r="P305" s="50" t="str">
        <f>IF(SUM($H303:P303) &gt; SUM($H301:P301),  " N/A", IF(SUM($H303:$BG303) = SUM($H301:$BH301),    " ",IF(P303 = SUM($H301:$BH301),  " ",   "x")))</f>
        <v xml:space="preserve"> </v>
      </c>
      <c r="Q305" s="50" t="str">
        <f>IF(SUM($H303:Q303) &gt; SUM($H301:Q301),  " N/A", IF(SUM($H303:$BG303) = SUM($H301:$BH301),    " ",IF(Q303 = SUM($H301:$BH301),  " ",   "x")))</f>
        <v xml:space="preserve"> </v>
      </c>
      <c r="R305" s="50" t="str">
        <f>IF(SUM($H303:R303) &gt; SUM($H301:R301),  " N/A", IF(SUM($H303:$BG303) = SUM($H301:$BH301),    " ",IF(R303 = SUM($H301:$BH301),  " ",   "x")))</f>
        <v xml:space="preserve"> </v>
      </c>
      <c r="S305" s="50" t="str">
        <f>IF(SUM($H303:S303) &gt; SUM($H301:S301),  " N/A", IF(SUM($H303:$BG303) = SUM($H301:$BH301),    " ",IF(S303 = SUM($H301:$BH301),  " ",   "x")))</f>
        <v xml:space="preserve"> </v>
      </c>
      <c r="T305" s="50" t="str">
        <f>IF(SUM($H303:T303) &gt; SUM($H301:T301),  " N/A", IF(SUM($H303:$BG303) = SUM($H301:$BH301),    " ",IF(T303 = SUM($H301:$BH301),  " ",   "x")))</f>
        <v xml:space="preserve"> </v>
      </c>
      <c r="U305" s="50" t="str">
        <f>IF(SUM($H303:U303) &gt; SUM($H301:U301),  " N/A", IF(SUM($H303:$BG303) = SUM($H301:$BH301),    " ",IF(U303 = SUM($H301:$BH301),  " ",   "x")))</f>
        <v xml:space="preserve"> </v>
      </c>
      <c r="V305" s="50" t="str">
        <f>IF(SUM($H303:V303) &gt; SUM($H301:V301),  " N/A", IF(SUM($H303:$BG303) = SUM($H301:$BH301),    " ",IF(V303 = SUM($H301:$BH301),  " ",   "x")))</f>
        <v xml:space="preserve"> </v>
      </c>
      <c r="W305" s="50" t="str">
        <f>IF(SUM($H303:W303) &gt; SUM($H301:W301),  " N/A", IF(SUM($H303:$BG303) = SUM($H301:$BH301),    " ",IF(W303 = SUM($H301:$BH301),  " ",   "x")))</f>
        <v xml:space="preserve"> </v>
      </c>
      <c r="X305" s="50" t="str">
        <f>IF(SUM($H303:X303) &gt; SUM($H301:X301),  " N/A", IF(SUM($H303:$BG303) = SUM($H301:$BH301),    " ",IF(X303 = SUM($H301:$BH301),  " ",   "x")))</f>
        <v xml:space="preserve"> </v>
      </c>
      <c r="Y305" s="50" t="str">
        <f>IF(SUM($H303:Y303) &gt; SUM($H301:Y301),  " N/A", IF(SUM($H303:$BG303) = SUM($H301:$BH301),    " ",IF(Y303 = SUM($H301:$BH301),  " ",   "x")))</f>
        <v xml:space="preserve"> </v>
      </c>
      <c r="Z305" s="50" t="str">
        <f>IF(SUM($H303:Z303) &gt; SUM($H301:Z301),  " N/A", IF(SUM($H303:$BG303) = SUM($H301:$BH301),    " ",IF(Z303 = SUM($H301:$BH301),  " ",   "x")))</f>
        <v xml:space="preserve"> </v>
      </c>
      <c r="AA305" s="50" t="str">
        <f>IF(SUM($H303:AA303) &gt; SUM($H301:AA301),  " N/A", IF(SUM($H303:$BG303) = SUM($H301:$BH301),    " ",IF(AA303 = SUM($H301:$BH301),  " ",   "x")))</f>
        <v xml:space="preserve"> </v>
      </c>
      <c r="AB305" s="50" t="str">
        <f>IF(SUM($H303:AB303) &gt; SUM($H301:AB301),  " N/A", IF(SUM($H303:$BG303) = SUM($H301:$BH301),    " ",IF(AB303 = SUM($H301:$BH301),  " ",   "x")))</f>
        <v xml:space="preserve"> </v>
      </c>
      <c r="AC305" s="50" t="str">
        <f>IF(SUM($H303:AC303) &gt; SUM($H301:AC301),  " N/A", IF(SUM($H303:$BG303) = SUM($H301:$BH301),    " ",IF(AC303 = SUM($H301:$BH301),  " ",   "x")))</f>
        <v xml:space="preserve"> </v>
      </c>
      <c r="AD305" s="50" t="str">
        <f>IF(SUM($H303:AD303) &gt; SUM($H301:AD301),  " N/A", IF(SUM($H303:$BG303) = SUM($H301:$BH301),    " ",IF(AD303 = SUM($H301:$BH301),  " ",   "x")))</f>
        <v xml:space="preserve"> </v>
      </c>
      <c r="AE305" s="50" t="str">
        <f>IF(SUM($H303:AE303) &gt; SUM($H301:AE301),  " N/A", IF(SUM($H303:$BG303) = SUM($H301:$BH301),    " ",IF(AE303 = SUM($H301:$BH301),  " ",   "x")))</f>
        <v xml:space="preserve"> </v>
      </c>
      <c r="AF305" s="50" t="str">
        <f>IF(SUM($H303:AF303) &gt; SUM($H301:AF301),  " N/A", IF(SUM($H303:$BG303) = SUM($H301:$BH301),    " ",IF(AF303 = SUM($H301:$BH301),  " ",   "x")))</f>
        <v xml:space="preserve"> </v>
      </c>
      <c r="AG305" s="50" t="str">
        <f>IF(SUM($H303:AG303) &gt; SUM($H301:AG301),  " N/A", IF(SUM($H303:$BG303) = SUM($H301:$BH301),    " ",IF(AG303 = SUM($H301:$BH301),  " ",   "x")))</f>
        <v xml:space="preserve"> </v>
      </c>
      <c r="AH305" s="50" t="str">
        <f>IF(SUM($H303:AH303) &gt; SUM($H301:AH301),  " N/A", IF(SUM($H303:$BG303) = SUM($H301:$BH301),    " ",IF(AH303 = SUM($H301:$BH301),  " ",   "x")))</f>
        <v xml:space="preserve"> </v>
      </c>
      <c r="AI305" s="50" t="str">
        <f>IF(SUM($H303:AI303) &gt; SUM($H301:AI301),  " N/A", IF(SUM($H303:$BG303) = SUM($H301:$BH301),    " ",IF(AI303 = SUM($H301:$BH301),  " ",   "x")))</f>
        <v xml:space="preserve"> </v>
      </c>
      <c r="AJ305" s="50" t="str">
        <f>IF(SUM($H303:AJ303) &gt; SUM($H301:AJ301),  " N/A", IF(SUM($H303:$BG303) = SUM($H301:$BH301),    " ",IF(AJ303 = SUM($H301:$BH301),  " ",   "x")))</f>
        <v xml:space="preserve"> </v>
      </c>
      <c r="AK305" s="50" t="str">
        <f>IF(SUM($H303:AK303) &gt; SUM($H301:AK301),  " N/A", IF(SUM($H303:$BG303) = SUM($H301:$BH301),    " ",IF(AK303 = SUM($H301:$BH301),  " ",   "x")))</f>
        <v xml:space="preserve"> </v>
      </c>
      <c r="AL305" s="50" t="str">
        <f>IF(SUM($H303:AL303) &gt; SUM($H301:AL301),  " N/A", IF(SUM($H303:$BG303) = SUM($H301:$BH301),    " ",IF(AL303 = SUM($H301:$BH301),  " ",   "x")))</f>
        <v xml:space="preserve"> </v>
      </c>
      <c r="AM305" s="50" t="str">
        <f>IF(SUM($H303:AM303) &gt; SUM($H301:AM301),  " N/A", IF(SUM($H303:$BG303) = SUM($H301:$BH301),    " ",IF(AM303 = SUM($H301:$BH301),  " ",   "x")))</f>
        <v xml:space="preserve"> </v>
      </c>
      <c r="AN305" s="50" t="str">
        <f>IF(SUM($H303:AN303) &gt; SUM($H301:AN301),  " N/A", IF(SUM($H303:$BG303) = SUM($H301:$BH301),    " ",IF(AN303 = SUM($H301:$BH301),  " ",   "x")))</f>
        <v xml:space="preserve"> </v>
      </c>
      <c r="AO305" s="50" t="str">
        <f>IF(SUM($H303:AO303) &gt; SUM($H301:AO301),  " N/A", IF(SUM($H303:$BG303) = SUM($H301:$BH301),    " ",IF(AO303 = SUM($H301:$BH301),  " ",   "x")))</f>
        <v xml:space="preserve"> </v>
      </c>
      <c r="AP305" s="50" t="str">
        <f>IF(SUM($H303:AP303) &gt; SUM($H301:AP301),  " N/A", IF(SUM($H303:$BG303) = SUM($H301:$BH301),    " ",IF(AP303 = SUM($H301:$BH301),  " ",   "x")))</f>
        <v xml:space="preserve"> </v>
      </c>
      <c r="AQ305" s="50" t="str">
        <f>IF(SUM($H303:AQ303) &gt; SUM($H301:AQ301),  " N/A", IF(SUM($H303:$BG303) = SUM($H301:$BH301),    " ",IF(AQ303 = SUM($H301:$BH301),  " ",   "x")))</f>
        <v xml:space="preserve"> </v>
      </c>
      <c r="AR305" s="50" t="str">
        <f>IF(SUM($H303:AR303) &gt; SUM($H301:AR301),  " N/A", IF(SUM($H303:$BG303) = SUM($H301:$BH301),    " ",IF(AR303 = SUM($H301:$BH301),  " ",   "x")))</f>
        <v xml:space="preserve"> </v>
      </c>
      <c r="AS305" s="50" t="str">
        <f>IF(SUM($H303:AS303) &gt; SUM($H301:AS301),  " N/A", IF(SUM($H303:$BG303) = SUM($H301:$BH301),    " ",IF(AS303 = SUM($H301:$BH301),  " ",   "x")))</f>
        <v xml:space="preserve"> </v>
      </c>
      <c r="AT305" s="50" t="str">
        <f>IF(SUM($H303:AT303) &gt; SUM($H301:AT301),  " N/A", IF(SUM($H303:$BG303) = SUM($H301:$BH301),    " ",IF(AT303 = SUM($H301:$BH301),  " ",   "x")))</f>
        <v xml:space="preserve"> </v>
      </c>
      <c r="AU305" s="50" t="str">
        <f>IF(SUM($H303:AU303) &gt; SUM($H301:AU301),  " N/A", IF(SUM($H303:$BG303) = SUM($H301:$BH301),    " ",IF(AU303 = SUM($H301:$BH301),  " ",   "x")))</f>
        <v xml:space="preserve"> </v>
      </c>
      <c r="AV305" s="50" t="str">
        <f>IF(SUM($H303:AV303) &gt; SUM($H301:AV301),  " N/A", IF(SUM($H303:$BG303) = SUM($H301:$BH301),    " ",IF(AV303 = SUM($H301:$BH301),  " ",   "x")))</f>
        <v xml:space="preserve"> </v>
      </c>
      <c r="AW305" s="50" t="str">
        <f>IF(SUM($H303:AW303) &gt; SUM($H301:AW301),  " N/A", IF(SUM($H303:$BG303) = SUM($H301:$BH301),    " ",IF(AW303 = SUM($H301:$BH301),  " ",   "x")))</f>
        <v xml:space="preserve"> </v>
      </c>
      <c r="AX305" s="50" t="str">
        <f>IF(SUM($H303:AX303) &gt; SUM($H301:AX301),  " N/A", IF(SUM($H303:$BG303) = SUM($H301:$BH301),    " ",IF(AX303 = SUM($H301:$BH301),  " ",   "x")))</f>
        <v xml:space="preserve"> </v>
      </c>
      <c r="AY305" s="50" t="str">
        <f>IF(SUM($H303:AY303) &gt; SUM($H301:AY301),  " N/A", IF(SUM($H303:$BG303) = SUM($H301:$BH301),    " ",IF(AY303 = SUM($H301:$BH301),  " ",   "x")))</f>
        <v xml:space="preserve"> </v>
      </c>
      <c r="AZ305" s="50" t="str">
        <f>IF(SUM($H303:AZ303) &gt; SUM($H301:AZ301),  " N/A", IF(SUM($H303:$BG303) = SUM($H301:$BH301),    " ",IF(AZ303 = SUM($H301:$BH301),  " ",   "x")))</f>
        <v xml:space="preserve"> </v>
      </c>
      <c r="BA305" s="50" t="str">
        <f>IF(SUM($H303:BA303) &gt; SUM($H301:BA301),  " N/A", IF(SUM($H303:$BG303) = SUM($H301:$BH301),    " ",IF(BA303 = SUM($H301:$BH301),  " ",   "x")))</f>
        <v xml:space="preserve"> </v>
      </c>
      <c r="BB305" s="50" t="str">
        <f>IF(SUM($H303:BB303) &gt; SUM($H301:BB301),  " N/A", IF(SUM($H303:$BG303) = SUM($H301:$BH301),    " ",IF(BB303 = SUM($H301:$BH301),  " ",   "x")))</f>
        <v xml:space="preserve"> </v>
      </c>
      <c r="BC305" s="50" t="str">
        <f>IF(SUM($H303:BC303) &gt; SUM($H301:BC301),  " N/A", IF(SUM($H303:$BG303) = SUM($H301:$BH301),    " ",IF(BC303 = SUM($H301:$BH301),  " ",   "x")))</f>
        <v xml:space="preserve"> </v>
      </c>
      <c r="BD305" s="50" t="str">
        <f>IF(SUM($H303:BD303) &gt; SUM($H301:BD301),  " N/A", IF(SUM($H303:$BG303) = SUM($H301:$BH301),    " ",IF(BD303 = SUM($H301:$BH301),  " ",   "x")))</f>
        <v xml:space="preserve"> </v>
      </c>
      <c r="BE305" s="50" t="str">
        <f>IF(SUM($H303:BE303) &gt; SUM($H301:BE301),  " N/A", IF(SUM($H303:$BG303) = SUM($H301:$BH301),    " ",IF(BE303 = SUM($H301:$BH301),  " ",   "x")))</f>
        <v xml:space="preserve"> </v>
      </c>
      <c r="BF305" s="50" t="str">
        <f>IF(SUM($H303:BF303) &gt; SUM($H301:BF301),  " N/A", IF(SUM($H303:$BG303) = SUM($H301:$BH301),    " ",IF(BF303 = SUM($H301:$BH301),  " ",   "x")))</f>
        <v xml:space="preserve"> </v>
      </c>
      <c r="BG305" s="50" t="str">
        <f>IF(SUM($H303:BG303) &gt; SUM($H301:BG301),  " N/A", IF(SUM($H303:$BG303) = SUM($H301:$BH301),    " ",IF(BG303 = SUM($H301:$BH301),  " ",   "x")))</f>
        <v xml:space="preserve"> </v>
      </c>
      <c r="BH305" s="21"/>
    </row>
    <row r="306" spans="2:60" x14ac:dyDescent="0.3">
      <c r="B306" s="36"/>
      <c r="C306" s="36"/>
      <c r="D306" s="36"/>
      <c r="E306" s="36"/>
      <c r="F306" s="36"/>
    </row>
    <row r="308" spans="2:60" customFormat="1" x14ac:dyDescent="0.3"/>
    <row r="309" spans="2:60" customFormat="1" x14ac:dyDescent="0.3"/>
    <row r="310" spans="2:60" customFormat="1" x14ac:dyDescent="0.3"/>
    <row r="311" spans="2:60" customFormat="1" x14ac:dyDescent="0.3"/>
    <row r="312" spans="2:60" customFormat="1" x14ac:dyDescent="0.3"/>
    <row r="313" spans="2:60" customFormat="1" x14ac:dyDescent="0.3"/>
    <row r="314" spans="2:60" customFormat="1" x14ac:dyDescent="0.3"/>
    <row r="315" spans="2:60" customFormat="1" x14ac:dyDescent="0.3"/>
    <row r="316" spans="2:60" customFormat="1" x14ac:dyDescent="0.3"/>
    <row r="317" spans="2:60" customFormat="1" x14ac:dyDescent="0.3"/>
    <row r="318" spans="2:60" customFormat="1" x14ac:dyDescent="0.3"/>
    <row r="319" spans="2:60" customFormat="1" x14ac:dyDescent="0.3"/>
    <row r="320" spans="2:60" customFormat="1" x14ac:dyDescent="0.3"/>
    <row r="321" customFormat="1" x14ac:dyDescent="0.3"/>
    <row r="322" customFormat="1" x14ac:dyDescent="0.3"/>
    <row r="323" customFormat="1" x14ac:dyDescent="0.3"/>
    <row r="324" customFormat="1" x14ac:dyDescent="0.3"/>
    <row r="325" customFormat="1" x14ac:dyDescent="0.3"/>
    <row r="326" customFormat="1" x14ac:dyDescent="0.3"/>
    <row r="327" customFormat="1" x14ac:dyDescent="0.3"/>
    <row r="328" customFormat="1" x14ac:dyDescent="0.3"/>
    <row r="329" customFormat="1" x14ac:dyDescent="0.3"/>
    <row r="330" customFormat="1" x14ac:dyDescent="0.3"/>
    <row r="331" customFormat="1" x14ac:dyDescent="0.3"/>
    <row r="332" customFormat="1" x14ac:dyDescent="0.3"/>
    <row r="333" customFormat="1" x14ac:dyDescent="0.3"/>
    <row r="334" customFormat="1" x14ac:dyDescent="0.3"/>
    <row r="335" customFormat="1" x14ac:dyDescent="0.3"/>
    <row r="336" customFormat="1" x14ac:dyDescent="0.3"/>
    <row r="337" customFormat="1" x14ac:dyDescent="0.3"/>
    <row r="338" customFormat="1" x14ac:dyDescent="0.3"/>
    <row r="339" customFormat="1" x14ac:dyDescent="0.3"/>
    <row r="340" customFormat="1" x14ac:dyDescent="0.3"/>
    <row r="341" customFormat="1" x14ac:dyDescent="0.3"/>
    <row r="342" customFormat="1" x14ac:dyDescent="0.3"/>
    <row r="343" customFormat="1" x14ac:dyDescent="0.3"/>
    <row r="344" customFormat="1" x14ac:dyDescent="0.3"/>
    <row r="378" ht="13.8" customHeight="1" x14ac:dyDescent="0.3"/>
    <row r="379" ht="13.8" customHeight="1" x14ac:dyDescent="0.3"/>
    <row r="380" ht="13.8" customHeight="1" x14ac:dyDescent="0.3"/>
    <row r="381" ht="13.8" customHeight="1" x14ac:dyDescent="0.3"/>
    <row r="1565" spans="60:60" x14ac:dyDescent="0.3">
      <c r="BH1565" s="21"/>
    </row>
    <row r="1566" spans="60:60" x14ac:dyDescent="0.3">
      <c r="BH1566" s="21"/>
    </row>
    <row r="1567" spans="60:60" x14ac:dyDescent="0.3">
      <c r="BH1567" s="21"/>
    </row>
    <row r="1568" spans="60:60" x14ac:dyDescent="0.3">
      <c r="BH1568" s="21"/>
    </row>
    <row r="1569" spans="60:60" x14ac:dyDescent="0.3">
      <c r="BH1569" s="21"/>
    </row>
    <row r="1570" spans="60:60" x14ac:dyDescent="0.3">
      <c r="BH1570" s="21"/>
    </row>
    <row r="1571" spans="60:60" x14ac:dyDescent="0.3">
      <c r="BH1571" s="21"/>
    </row>
    <row r="1572" spans="60:60" x14ac:dyDescent="0.3">
      <c r="BH1572" s="21"/>
    </row>
    <row r="1573" spans="60:60" x14ac:dyDescent="0.3">
      <c r="BH1573" s="21"/>
    </row>
    <row r="1574" spans="60:60" x14ac:dyDescent="0.3">
      <c r="BH1574" s="21"/>
    </row>
    <row r="1575" spans="60:60" x14ac:dyDescent="0.3">
      <c r="BH1575" s="21"/>
    </row>
    <row r="1576" spans="60:60" x14ac:dyDescent="0.3">
      <c r="BH1576" s="21"/>
    </row>
    <row r="1577" spans="60:60" x14ac:dyDescent="0.3">
      <c r="BH1577" s="21"/>
    </row>
    <row r="1578" spans="60:60" x14ac:dyDescent="0.3">
      <c r="BH1578" s="21"/>
    </row>
    <row r="1579" spans="60:60" x14ac:dyDescent="0.3">
      <c r="BH1579" s="21"/>
    </row>
    <row r="1580" spans="60:60" x14ac:dyDescent="0.3">
      <c r="BH1580" s="21"/>
    </row>
    <row r="1581" spans="60:60" x14ac:dyDescent="0.3">
      <c r="BH1581" s="21"/>
    </row>
    <row r="1582" spans="60:60" x14ac:dyDescent="0.3">
      <c r="BH1582" s="21"/>
    </row>
    <row r="1583" spans="60:60" x14ac:dyDescent="0.3">
      <c r="BH1583" s="21"/>
    </row>
    <row r="1584" spans="60:60" x14ac:dyDescent="0.3">
      <c r="BH1584" s="21"/>
    </row>
    <row r="1585" spans="60:60" x14ac:dyDescent="0.3">
      <c r="BH1585" s="21"/>
    </row>
    <row r="1586" spans="60:60" x14ac:dyDescent="0.3">
      <c r="BH1586" s="21"/>
    </row>
    <row r="1587" spans="60:60" x14ac:dyDescent="0.3">
      <c r="BH1587" s="21"/>
    </row>
    <row r="1588" spans="60:60" x14ac:dyDescent="0.3">
      <c r="BH1588" s="21"/>
    </row>
    <row r="1589" spans="60:60" x14ac:dyDescent="0.3">
      <c r="BH1589" s="21"/>
    </row>
    <row r="1590" spans="60:60" x14ac:dyDescent="0.3">
      <c r="BH1590" s="21"/>
    </row>
    <row r="1591" spans="60:60" x14ac:dyDescent="0.3">
      <c r="BH1591" s="21"/>
    </row>
    <row r="1592" spans="60:60" x14ac:dyDescent="0.3">
      <c r="BH1592" s="21"/>
    </row>
    <row r="1593" spans="60:60" x14ac:dyDescent="0.3">
      <c r="BH1593" s="21"/>
    </row>
    <row r="1594" spans="60:60" x14ac:dyDescent="0.3">
      <c r="BH1594" s="21"/>
    </row>
    <row r="1595" spans="60:60" x14ac:dyDescent="0.3">
      <c r="BH1595" s="21"/>
    </row>
    <row r="1596" spans="60:60" x14ac:dyDescent="0.3">
      <c r="BH1596" s="21"/>
    </row>
    <row r="1597" spans="60:60" x14ac:dyDescent="0.3">
      <c r="BH1597" s="21"/>
    </row>
    <row r="1598" spans="60:60" x14ac:dyDescent="0.3">
      <c r="BH1598" s="21"/>
    </row>
    <row r="1599" spans="60:60" x14ac:dyDescent="0.3">
      <c r="BH1599" s="21"/>
    </row>
    <row r="1600" spans="60:60" x14ac:dyDescent="0.3">
      <c r="BH1600" s="21"/>
    </row>
    <row r="1601" spans="60:60" x14ac:dyDescent="0.3">
      <c r="BH1601" s="21"/>
    </row>
    <row r="1602" spans="60:60" x14ac:dyDescent="0.3">
      <c r="BH1602" s="21"/>
    </row>
  </sheetData>
  <mergeCells count="85">
    <mergeCell ref="B1:D2"/>
    <mergeCell ref="H6:U6"/>
    <mergeCell ref="H5:U5"/>
    <mergeCell ref="H4:U4"/>
    <mergeCell ref="B5:B6"/>
    <mergeCell ref="C5:C6"/>
    <mergeCell ref="D4:E4"/>
    <mergeCell ref="D5:E6"/>
    <mergeCell ref="P1:S1"/>
    <mergeCell ref="P2:S2"/>
    <mergeCell ref="B8:F8"/>
    <mergeCell ref="V4:AX6"/>
    <mergeCell ref="AY4:BG6"/>
    <mergeCell ref="F4:F6"/>
    <mergeCell ref="BD8:BG8"/>
    <mergeCell ref="H8:K8"/>
    <mergeCell ref="L8:P8"/>
    <mergeCell ref="Q8:T8"/>
    <mergeCell ref="U8:X8"/>
    <mergeCell ref="Y8:AC8"/>
    <mergeCell ref="AD8:AG8"/>
    <mergeCell ref="AH8:AK8"/>
    <mergeCell ref="AL8:AP8"/>
    <mergeCell ref="AQ8:AT8"/>
    <mergeCell ref="AU8:AY8"/>
    <mergeCell ref="AZ8:BC8"/>
    <mergeCell ref="F11:F15"/>
    <mergeCell ref="F16:F20"/>
    <mergeCell ref="F21:F25"/>
    <mergeCell ref="F26:F30"/>
    <mergeCell ref="F31:F35"/>
    <mergeCell ref="F36:F40"/>
    <mergeCell ref="F41:F45"/>
    <mergeCell ref="F46:F50"/>
    <mergeCell ref="F51:F55"/>
    <mergeCell ref="F56:F60"/>
    <mergeCell ref="F61:F65"/>
    <mergeCell ref="F66:F70"/>
    <mergeCell ref="F71:F75"/>
    <mergeCell ref="F76:F80"/>
    <mergeCell ref="F81:F85"/>
    <mergeCell ref="F86:F90"/>
    <mergeCell ref="F91:F95"/>
    <mergeCell ref="F96:F100"/>
    <mergeCell ref="F101:F105"/>
    <mergeCell ref="F106:F110"/>
    <mergeCell ref="F111:F115"/>
    <mergeCell ref="F116:F120"/>
    <mergeCell ref="F121:F125"/>
    <mergeCell ref="F126:F130"/>
    <mergeCell ref="F131:F135"/>
    <mergeCell ref="F136:F140"/>
    <mergeCell ref="F141:F145"/>
    <mergeCell ref="F146:F150"/>
    <mergeCell ref="F151:F155"/>
    <mergeCell ref="F156:F160"/>
    <mergeCell ref="F161:F165"/>
    <mergeCell ref="F166:F170"/>
    <mergeCell ref="F171:F175"/>
    <mergeCell ref="F176:F180"/>
    <mergeCell ref="F181:F185"/>
    <mergeCell ref="F186:F190"/>
    <mergeCell ref="F191:F195"/>
    <mergeCell ref="F196:F200"/>
    <mergeCell ref="F201:F205"/>
    <mergeCell ref="F206:F210"/>
    <mergeCell ref="F211:F215"/>
    <mergeCell ref="F216:F220"/>
    <mergeCell ref="F221:F225"/>
    <mergeCell ref="F226:F230"/>
    <mergeCell ref="F231:F235"/>
    <mergeCell ref="F236:F240"/>
    <mergeCell ref="F241:F245"/>
    <mergeCell ref="F246:F250"/>
    <mergeCell ref="F251:F255"/>
    <mergeCell ref="F256:F260"/>
    <mergeCell ref="F286:F290"/>
    <mergeCell ref="F291:F295"/>
    <mergeCell ref="F296:F300"/>
    <mergeCell ref="F301:F305"/>
    <mergeCell ref="F261:F265"/>
    <mergeCell ref="F266:F270"/>
    <mergeCell ref="F271:F275"/>
    <mergeCell ref="F276:F280"/>
    <mergeCell ref="F281:F285"/>
  </mergeCells>
  <phoneticPr fontId="1" type="noConversion"/>
  <conditionalFormatting sqref="H10:BG10">
    <cfRule type="cellIs" dxfId="10" priority="122" stopIfTrue="1" operator="equal">
      <formula>"X"</formula>
    </cfRule>
  </conditionalFormatting>
  <conditionalFormatting sqref="H13:BG13 H18:BG18 H23:BG23 H28:BG28 H33:BG33 H38:BG38 H43:BG43 H48:BG48 H53:BG53 H58:BG58 H63:BG63 H68:BG68 H73:BG73 H78:BG78 H83:BG83 H88:BG88 H93:BG93 H98:BG98 H103:BG103 H108:BG108 H113:BG113 H118:BG118 H123:BG123 H128:BG128 H133:BG133 H138:K138 H143:K143 H148:BG148 H153:BG153 H158:BG158 H163:BG163 H168:BG168 H173:BG173 H178:BG178 H183:BG183 H188:BG188 H193:BG193 H198:BG198 H203:BG203 H208:BG208 H213:BG213 H218:BG218 H223:BG223 H228:BG228 H233:BG233 H238:BG238 H243:BG243 H248:BG248 H253:BG253 H258:BG258 H263:BG263 H268:BG268 H273:BG273 H278:BG278 H283:BG283 H288:BG288 H293:BG293 H298:BG298 H303:BG303">
    <cfRule type="expression" dxfId="9" priority="123">
      <formula>AND(MIN($H13:$BG13) &gt; 0.005, SUM($H13:$BG13) = SUM($H11:$BG11))</formula>
    </cfRule>
  </conditionalFormatting>
  <conditionalFormatting sqref="H14:BG14 H19:BG19 H24:BG24 H29:BG29 H34:BG34 L35 H39:BG39 H44:BG44 H49:BG49 H54:BG54 H59:BG59 H64:BG64 H69:BG69 H74:BG74 H79:BG79 H84:BG84 H89:BG89 H94:BG94 H99:BG99 H104:BG104 H109:BG109 H114:BG114 H119:BG119 H124:BG124 H129:BG129 H134:BG134 H139:BG139 H144:BG144 H149:BG149 H154:BG154 H159:BG159 H164:BG164 H169:BG169 H174:BG174 H179:BG179 H184:BG184 H189:BG189 H194:BG194 H199:BG199 H204:BG204 H209:BG209 H214:BG214 H219:BG219 H224:BG224 H229:BG229 H234:BG234 H239:BG239 H244:BG244 H249:BG249 H254:BG254 H259:BG259 H264:BG264 H269:BG269 H274:BG274 H279:BG279 H284:BG284 H289:BG289 H294:BG294 H299:BG299 H304:BG304">
    <cfRule type="cellIs" dxfId="8" priority="3" operator="between">
      <formula>0.0001</formula>
      <formula>100000</formula>
    </cfRule>
  </conditionalFormatting>
  <conditionalFormatting sqref="H35:BG35 H15:BG15 H20:BG20 H30:BG30 H45:BG45 H50:BG50 H55:AC55 AE55:BG55 H60:BG60 H65:BG65 H70:BG70 H80:BG80 H85:BG85 H90:BG90 H95:BG95 H105:BG105 H110:BG110 H115:BG115 H120:BG120 H130:BG130 H135:BG135 H140:BG140 H145:BG145 H150:BG150 H175:BG175 H180:BG180 H200:BG200 BH222 H245:BG245 H255:BG255 H260:BG260 H265:BG265 H270:BG270 H280:BG280 H285:BG285 H295:BG295 H40:BG40 H75:BG75 H25:BG25 H250:BG250 H235:BG235 H230:BG230 H220:BG220 H225:BG225 H215:BG215 H205:BG205 H210:BG210 H195:BG195 H190:BG190 H185:BG185 H125:BG125 H100:BG100 L296:T296 V296:BG296 H305:BG305 H300:BG300 G290:BG290 H275:BG275 H240:BG240 H155:BG155 H160:BG160 H165:BG165 H170:BG170">
    <cfRule type="cellIs" dxfId="7" priority="97" stopIfTrue="1" operator="equal">
      <formula>"x"</formula>
    </cfRule>
  </conditionalFormatting>
  <conditionalFormatting sqref="L31:AD32 AF31:BG32">
    <cfRule type="expression" dxfId="6" priority="61">
      <formula>AND(MIN($H31:$BG31) &gt; 0.005, SUM($H31:$BG31) = SUM($H30:$BG30))</formula>
    </cfRule>
  </conditionalFormatting>
  <conditionalFormatting sqref="L137:BG138 L142:BG143">
    <cfRule type="expression" dxfId="5" priority="39">
      <formula>AND(MIN($H137:$BG137) &gt; 0.005, SUM($H137:$BG137) = SUM($H136:$BG136))</formula>
    </cfRule>
  </conditionalFormatting>
  <hyperlinks>
    <hyperlink ref="AY4:BF6" location="Delivery_plan_24!A1" display="GO to Delievry_plan_24" xr:uid="{04F8FDD7-E311-4FE4-AEC4-3FE23B0AE9E6}"/>
    <hyperlink ref="P2:S2" r:id="rId1" display="Lieferplan_2024_Powerbi.pbix" xr:uid="{DC95096C-668A-4F25-8C06-E2B19414589E}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C6189-83FD-4605-8BD5-057137EB4848}">
  <dimension ref="A3:A7"/>
  <sheetViews>
    <sheetView workbookViewId="0">
      <selection activeCell="D8" sqref="D8"/>
    </sheetView>
  </sheetViews>
  <sheetFormatPr defaultRowHeight="14.4" x14ac:dyDescent="0.3"/>
  <cols>
    <col min="1" max="1" width="29.77734375" bestFit="1" customWidth="1"/>
  </cols>
  <sheetData>
    <row r="3" spans="1:1" x14ac:dyDescent="0.3">
      <c r="A3" t="s">
        <v>293</v>
      </c>
    </row>
    <row r="4" spans="1:1" x14ac:dyDescent="0.3">
      <c r="A4" t="s">
        <v>294</v>
      </c>
    </row>
    <row r="5" spans="1:1" x14ac:dyDescent="0.3">
      <c r="A5" t="s">
        <v>296</v>
      </c>
    </row>
    <row r="6" spans="1:1" x14ac:dyDescent="0.3">
      <c r="A6" t="s">
        <v>295</v>
      </c>
    </row>
    <row r="7" spans="1:1" x14ac:dyDescent="0.3">
      <c r="A7" t="s">
        <v>297</v>
      </c>
    </row>
  </sheetData>
  <hyperlinks>
    <hyperlink ref="A7" r:id="rId1" xr:uid="{36C5F3C3-EA5B-42ED-BE53-3A980B5FE15E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2F1C4-4A96-4126-BFEC-85652ACA7CBE}">
  <sheetPr codeName="Sheet3"/>
  <dimension ref="A1:A3"/>
  <sheetViews>
    <sheetView workbookViewId="0">
      <selection activeCell="A7" sqref="A7"/>
    </sheetView>
  </sheetViews>
  <sheetFormatPr defaultColWidth="11.5546875" defaultRowHeight="14.4" x14ac:dyDescent="0.3"/>
  <sheetData>
    <row r="1" spans="1:1" x14ac:dyDescent="0.3">
      <c r="A1" t="s">
        <v>285</v>
      </c>
    </row>
    <row r="2" spans="1:1" x14ac:dyDescent="0.3">
      <c r="A2" t="s">
        <v>289</v>
      </c>
    </row>
    <row r="3" spans="1:1" x14ac:dyDescent="0.3">
      <c r="A3" t="s">
        <v>286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x00c4_nderung xmlns="16a436c1-2f7d-455a-8282-facaa2666287">2024-08-07T09:29:05+00:00</_x00c4_nderung>
    <TaxCatchAll xmlns="be9e6679-d4ad-4c9f-b4f4-d73a833f5508" xsi:nil="true"/>
    <Recherche xmlns="16a436c1-2f7d-455a-8282-facaa2666287" xsi:nil="true"/>
    <Kategorisierung xmlns="16a436c1-2f7d-455a-8282-facaa2666287" xsi:nil="true"/>
    <Metadaten xmlns="16a436c1-2f7d-455a-8282-facaa2666287" xsi:nil="true"/>
    <lcf76f155ced4ddcb4097134ff3c332f xmlns="16a436c1-2f7d-455a-8282-facaa2666287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37C319453768E24AA58FCD75985A08D4" ma:contentTypeVersion="19" ma:contentTypeDescription="Ein neues Dokument erstellen." ma:contentTypeScope="" ma:versionID="ff374b93927220212bad37672cae86d4">
  <xsd:schema xmlns:xsd="http://www.w3.org/2001/XMLSchema" xmlns:xs="http://www.w3.org/2001/XMLSchema" xmlns:p="http://schemas.microsoft.com/office/2006/metadata/properties" xmlns:ns2="16a436c1-2f7d-455a-8282-facaa2666287" xmlns:ns3="be9e6679-d4ad-4c9f-b4f4-d73a833f5508" targetNamespace="http://schemas.microsoft.com/office/2006/metadata/properties" ma:root="true" ma:fieldsID="6be303902851350765fdb0d38a99ca7c" ns2:_="" ns3:_="">
    <xsd:import namespace="16a436c1-2f7d-455a-8282-facaa2666287"/>
    <xsd:import namespace="be9e6679-d4ad-4c9f-b4f4-d73a833f5508"/>
    <xsd:element name="properties">
      <xsd:complexType>
        <xsd:sequence>
          <xsd:element name="documentManagement">
            <xsd:complexType>
              <xsd:all>
                <xsd:element ref="ns2:Metadaten" minOccurs="0"/>
                <xsd:element ref="ns2:Recherche" minOccurs="0"/>
                <xsd:element ref="ns2:Kategorisierung" minOccurs="0"/>
                <xsd:element ref="ns2:_x00c4_nderung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a436c1-2f7d-455a-8282-facaa2666287" elementFormDefault="qualified">
    <xsd:import namespace="http://schemas.microsoft.com/office/2006/documentManagement/types"/>
    <xsd:import namespace="http://schemas.microsoft.com/office/infopath/2007/PartnerControls"/>
    <xsd:element name="Metadaten" ma:index="3" nillable="true" ma:displayName="Metadaten" ma:description="Klassifizierung" ma:format="Dropdown" ma:internalName="Metadaten" ma:readOnly="false">
      <xsd:simpleType>
        <xsd:restriction base="dms:Choice">
          <xsd:enumeration value="Klassifizierung"/>
          <xsd:enumeration value="Auswahl 2"/>
          <xsd:enumeration value="Auswahl 3"/>
        </xsd:restriction>
      </xsd:simpleType>
    </xsd:element>
    <xsd:element name="Recherche" ma:index="4" nillable="true" ma:displayName="Recherche" ma:list="{89425b1e-0f92-4d7a-8368-5e5b12721b53}" ma:internalName="Recherche" ma:readOnly="false" ma:showField="Title">
      <xsd:simpleType>
        <xsd:restriction base="dms:Lookup"/>
      </xsd:simpleType>
    </xsd:element>
    <xsd:element name="Kategorisierung" ma:index="5" nillable="true" ma:displayName="Kategorisierung" ma:format="Dropdown" ma:internalName="Kategorisierung" ma:readOnly="false">
      <xsd:simpleType>
        <xsd:restriction base="dms:Choice">
          <xsd:enumeration value="Prozess"/>
          <xsd:enumeration value="Bestellung"/>
          <xsd:enumeration value="Entwicklung"/>
          <xsd:enumeration value="Vorlage"/>
          <xsd:enumeration value="Auswahl 5"/>
        </xsd:restriction>
      </xsd:simpleType>
    </xsd:element>
    <xsd:element name="_x00c4_nderung" ma:index="6" nillable="true" ma:displayName="Änderung" ma:default="[today]" ma:format="DateTime" ma:internalName="_x00c4_nderung">
      <xsd:simpleType>
        <xsd:restriction base="dms:DateTime"/>
      </xsd:simple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ildmarkierungen" ma:readOnly="false" ma:fieldId="{5cf76f15-5ced-4ddc-b409-7134ff3c332f}" ma:taxonomyMulti="true" ma:sspId="97050f6e-97f2-48e7-ad72-ec3f75f9004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3" nillable="true" ma:displayName="Extracted Text" ma:hidden="true" ma:internalName="MediaServiceOCR" ma:readOnly="true">
      <xsd:simpleType>
        <xsd:restriction base="dms:Note"/>
      </xsd:simpleType>
    </xsd:element>
    <xsd:element name="MediaLengthInSeconds" ma:index="2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9e6679-d4ad-4c9f-b4f4-d73a833f5508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e7d44a92-b133-4998-bbb5-68beef29cf0f}" ma:internalName="TaxCatchAll" ma:readOnly="false" ma:showField="CatchAllData" ma:web="be9e6679-d4ad-4c9f-b4f4-d73a833f55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Freigegeben für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Freigegeben für - Details" ma:hidden="true" ma:internalName="SharedWithDetail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Inhaltstyp"/>
        <xsd:element ref="dc:title" minOccurs="0" maxOccurs="1" ma:index="1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B0963FB5-7443-4BF9-9085-47A374D43462}">
  <ds:schemaRefs>
    <ds:schemaRef ds:uri="be9e6679-d4ad-4c9f-b4f4-d73a833f5508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purl.org/dc/terms/"/>
    <ds:schemaRef ds:uri="16a436c1-2f7d-455a-8282-facaa2666287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3E2418C-9579-4252-A10F-48E7585132B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783F05D-84DB-4D20-A67F-47CA3DB5A72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a436c1-2f7d-455a-8282-facaa2666287"/>
    <ds:schemaRef ds:uri="be9e6679-d4ad-4c9f-b4f4-d73a833f550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DD36C67E-7D12-417B-A171-D2434D5D704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Delivery_plan_24</vt:lpstr>
      <vt:lpstr>Gant_24</vt:lpstr>
      <vt:lpstr>Sheet1</vt:lpstr>
      <vt:lpstr>Tabelle1</vt:lpstr>
      <vt:lpstr>Power_automate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Jethava, Romil (067)</dc:creator>
  <cp:lastModifiedBy>romil jethava</cp:lastModifiedBy>
  <dcterms:created xsi:type="dcterms:W3CDTF">2024-05-07T08:44:44Z</dcterms:created>
  <dcterms:modified xsi:type="dcterms:W3CDTF">2026-04-02T07:59:15Z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24dbb1d-991d-4bbd-aad5-33bac1d8ffaf_Enabled">
    <vt:lpwstr>true</vt:lpwstr>
  </property>
  <property fmtid="{D5CDD505-2E9C-101B-9397-08002B2CF9AE}" pid="3" name="MSIP_Label_924dbb1d-991d-4bbd-aad5-33bac1d8ffaf_SetDate">
    <vt:lpwstr>2024-05-07T08:44:45Z</vt:lpwstr>
  </property>
  <property fmtid="{D5CDD505-2E9C-101B-9397-08002B2CF9AE}" pid="4" name="MSIP_Label_924dbb1d-991d-4bbd-aad5-33bac1d8ffaf_Method">
    <vt:lpwstr>Standard</vt:lpwstr>
  </property>
  <property fmtid="{D5CDD505-2E9C-101B-9397-08002B2CF9AE}" pid="5" name="MSIP_Label_924dbb1d-991d-4bbd-aad5-33bac1d8ffaf_Name">
    <vt:lpwstr>924dbb1d-991d-4bbd-aad5-33bac1d8ffaf</vt:lpwstr>
  </property>
  <property fmtid="{D5CDD505-2E9C-101B-9397-08002B2CF9AE}" pid="6" name="MSIP_Label_924dbb1d-991d-4bbd-aad5-33bac1d8ffaf_SiteId">
    <vt:lpwstr>9652d7c2-1ccf-4940-8151-4a92bd474ed0</vt:lpwstr>
  </property>
  <property fmtid="{D5CDD505-2E9C-101B-9397-08002B2CF9AE}" pid="7" name="MSIP_Label_924dbb1d-991d-4bbd-aad5-33bac1d8ffaf_ActionId">
    <vt:lpwstr>2ff4051c-496f-4281-939e-574690a346e6</vt:lpwstr>
  </property>
  <property fmtid="{D5CDD505-2E9C-101B-9397-08002B2CF9AE}" pid="8" name="MSIP_Label_924dbb1d-991d-4bbd-aad5-33bac1d8ffaf_ContentBits">
    <vt:lpwstr>0</vt:lpwstr>
  </property>
  <property fmtid="{D5CDD505-2E9C-101B-9397-08002B2CF9AE}" pid="9" name="ContentTypeId">
    <vt:lpwstr>0x01010037C319453768E24AA58FCD75985A08D4</vt:lpwstr>
  </property>
  <property fmtid="{D5CDD505-2E9C-101B-9397-08002B2CF9AE}" pid="10" name="MediaServiceImageTags">
    <vt:lpwstr/>
  </property>
  <property fmtid="{D5CDD505-2E9C-101B-9397-08002B2CF9AE}" pid="11" name="state">
    <vt:lpwstr>zgs</vt:lpwstr>
  </property>
  <property fmtid="{D5CDD505-2E9C-101B-9397-08002B2CF9AE}" pid="12" name="version">
    <vt:lpwstr/>
  </property>
  <property fmtid="{D5CDD505-2E9C-101B-9397-08002B2CF9AE}" pid="13" name="zgs">
    <vt:lpwstr/>
  </property>
  <property fmtid="{D5CDD505-2E9C-101B-9397-08002B2CF9AE}" pid="14" name="revision">
    <vt:lpwstr/>
  </property>
  <property fmtid="{D5CDD505-2E9C-101B-9397-08002B2CF9AE}" pid="15" name="sequence">
    <vt:lpwstr/>
  </property>
</Properties>
</file>